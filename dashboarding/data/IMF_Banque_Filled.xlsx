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études\stage\stage BFM 2024\dash local_ git\dash-dev\data\"/>
    </mc:Choice>
  </mc:AlternateContent>
  <bookViews>
    <workbookView xWindow="0" yWindow="0" windowWidth="20490" windowHeight="762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O52" i="1" l="1"/>
  <c r="O53" i="1"/>
  <c r="O54" i="1"/>
  <c r="O55" i="1"/>
  <c r="O104" i="1" s="1"/>
  <c r="O56" i="1"/>
  <c r="O57" i="1"/>
  <c r="O58" i="1"/>
  <c r="O59" i="1"/>
  <c r="O108" i="1" s="1"/>
  <c r="O60" i="1"/>
  <c r="O61" i="1"/>
  <c r="O62" i="1"/>
  <c r="O63" i="1"/>
  <c r="O112" i="1" s="1"/>
  <c r="O64" i="1"/>
  <c r="O65" i="1"/>
  <c r="O66" i="1"/>
  <c r="O67" i="1"/>
  <c r="O116" i="1" s="1"/>
  <c r="O68" i="1"/>
  <c r="O69" i="1"/>
  <c r="O70" i="1"/>
  <c r="O71" i="1"/>
  <c r="O120" i="1" s="1"/>
  <c r="O72" i="1"/>
  <c r="O73" i="1"/>
  <c r="O74" i="1"/>
  <c r="O75" i="1"/>
  <c r="O124" i="1" s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5" i="1"/>
  <c r="O106" i="1"/>
  <c r="O107" i="1"/>
  <c r="O109" i="1"/>
  <c r="O110" i="1"/>
  <c r="O111" i="1"/>
  <c r="O113" i="1"/>
  <c r="O114" i="1"/>
  <c r="O115" i="1"/>
  <c r="O117" i="1"/>
  <c r="O118" i="1"/>
  <c r="O119" i="1"/>
  <c r="O121" i="1"/>
  <c r="O122" i="1"/>
  <c r="O123" i="1"/>
  <c r="O125" i="1"/>
  <c r="O126" i="1"/>
  <c r="O127" i="1"/>
  <c r="O51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6" i="1"/>
  <c r="O24" i="1"/>
  <c r="O25" i="1"/>
  <c r="O15" i="1"/>
  <c r="O16" i="1"/>
  <c r="O17" i="1"/>
  <c r="O18" i="1"/>
  <c r="O19" i="1"/>
  <c r="O20" i="1"/>
  <c r="O21" i="1"/>
  <c r="O22" i="1"/>
  <c r="O23" i="1"/>
  <c r="O14" i="1"/>
  <c r="O3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63" i="1"/>
  <c r="N64" i="1"/>
  <c r="N65" i="1"/>
  <c r="N66" i="1"/>
  <c r="N67" i="1"/>
  <c r="N68" i="1"/>
  <c r="N62" i="1"/>
  <c r="N59" i="1"/>
  <c r="N60" i="1"/>
  <c r="N61" i="1"/>
  <c r="N49" i="1"/>
  <c r="N50" i="1"/>
  <c r="N51" i="1"/>
  <c r="N52" i="1"/>
  <c r="N53" i="1"/>
  <c r="N54" i="1"/>
  <c r="N55" i="1"/>
  <c r="N56" i="1"/>
  <c r="N57" i="1"/>
  <c r="N58" i="1"/>
  <c r="N42" i="1"/>
  <c r="N43" i="1"/>
  <c r="N44" i="1"/>
  <c r="N45" i="1"/>
  <c r="N46" i="1"/>
  <c r="N47" i="1"/>
  <c r="N48" i="1"/>
  <c r="N31" i="1"/>
  <c r="N32" i="1"/>
  <c r="N33" i="1"/>
  <c r="N34" i="1"/>
  <c r="N35" i="1"/>
  <c r="N36" i="1"/>
  <c r="N37" i="1"/>
  <c r="N38" i="1"/>
  <c r="N39" i="1"/>
  <c r="N40" i="1"/>
  <c r="N41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15" i="1"/>
  <c r="N16" i="1"/>
  <c r="N17" i="1"/>
  <c r="N14" i="1"/>
  <c r="N13" i="1"/>
  <c r="N12" i="1"/>
  <c r="N4" i="1"/>
  <c r="N5" i="1" s="1"/>
  <c r="N6" i="1" s="1"/>
  <c r="N7" i="1" s="1"/>
  <c r="N8" i="1" s="1"/>
  <c r="N9" i="1" s="1"/>
  <c r="N10" i="1" s="1"/>
  <c r="N11" i="1" s="1"/>
  <c r="N3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33" i="1"/>
  <c r="M34" i="1"/>
  <c r="M35" i="1"/>
  <c r="M36" i="1"/>
  <c r="M27" i="1"/>
  <c r="M28" i="1"/>
  <c r="M29" i="1"/>
  <c r="M30" i="1"/>
  <c r="M31" i="1"/>
  <c r="M32" i="1"/>
  <c r="M20" i="1"/>
  <c r="M21" i="1"/>
  <c r="M22" i="1"/>
  <c r="M23" i="1"/>
  <c r="M24" i="1"/>
  <c r="M25" i="1"/>
  <c r="M26" i="1"/>
  <c r="J16" i="1"/>
  <c r="M16" i="1" s="1"/>
  <c r="M11" i="1"/>
  <c r="M12" i="1"/>
  <c r="M13" i="1"/>
  <c r="M14" i="1"/>
  <c r="M15" i="1"/>
  <c r="M17" i="1"/>
  <c r="M18" i="1"/>
  <c r="M19" i="1"/>
  <c r="M4" i="1"/>
  <c r="M5" i="1"/>
  <c r="M6" i="1"/>
  <c r="M7" i="1"/>
  <c r="M8" i="1"/>
  <c r="M9" i="1"/>
  <c r="M10" i="1"/>
  <c r="M3" i="1"/>
  <c r="L122" i="1"/>
  <c r="L123" i="1"/>
  <c r="L124" i="1"/>
  <c r="L125" i="1"/>
  <c r="L126" i="1"/>
  <c r="L127" i="1"/>
  <c r="L121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62" i="1"/>
  <c r="L15" i="1"/>
  <c r="L16" i="1"/>
  <c r="L17" i="1"/>
  <c r="L18" i="1"/>
  <c r="L30" i="1" s="1"/>
  <c r="L42" i="1" s="1"/>
  <c r="L54" i="1" s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3" i="1"/>
  <c r="L44" i="1"/>
  <c r="L45" i="1"/>
  <c r="L46" i="1"/>
  <c r="L47" i="1"/>
  <c r="L48" i="1"/>
  <c r="L49" i="1"/>
  <c r="L50" i="1"/>
  <c r="L51" i="1"/>
  <c r="L52" i="1"/>
  <c r="L53" i="1"/>
  <c r="L55" i="1"/>
  <c r="L56" i="1"/>
  <c r="L57" i="1"/>
  <c r="L58" i="1"/>
  <c r="L59" i="1"/>
  <c r="L60" i="1"/>
  <c r="L61" i="1"/>
  <c r="L14" i="1"/>
  <c r="L4" i="1"/>
  <c r="L5" i="1" s="1"/>
  <c r="L6" i="1" s="1"/>
  <c r="L7" i="1" s="1"/>
  <c r="L8" i="1" s="1"/>
  <c r="L9" i="1" s="1"/>
  <c r="L10" i="1" s="1"/>
  <c r="L11" i="1" s="1"/>
  <c r="L12" i="1" s="1"/>
  <c r="L13" i="1" s="1"/>
  <c r="L3" i="1"/>
  <c r="K63" i="1"/>
  <c r="K64" i="1"/>
  <c r="K65" i="1"/>
  <c r="K66" i="1"/>
  <c r="K113" i="1" s="1"/>
  <c r="K67" i="1"/>
  <c r="K68" i="1"/>
  <c r="K69" i="1"/>
  <c r="K70" i="1"/>
  <c r="K117" i="1" s="1"/>
  <c r="K71" i="1"/>
  <c r="K72" i="1"/>
  <c r="K73" i="1"/>
  <c r="K74" i="1"/>
  <c r="K121" i="1" s="1"/>
  <c r="K75" i="1"/>
  <c r="K76" i="1"/>
  <c r="K77" i="1"/>
  <c r="K78" i="1"/>
  <c r="K125" i="1" s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4" i="1"/>
  <c r="K115" i="1"/>
  <c r="K116" i="1"/>
  <c r="K118" i="1"/>
  <c r="K119" i="1"/>
  <c r="K120" i="1"/>
  <c r="K122" i="1"/>
  <c r="K123" i="1"/>
  <c r="K124" i="1"/>
  <c r="K126" i="1"/>
  <c r="K127" i="1"/>
  <c r="K62" i="1"/>
  <c r="K51" i="1"/>
  <c r="K52" i="1"/>
  <c r="K53" i="1"/>
  <c r="K54" i="1"/>
  <c r="K55" i="1"/>
  <c r="K56" i="1"/>
  <c r="K57" i="1"/>
  <c r="K58" i="1"/>
  <c r="K59" i="1"/>
  <c r="K60" i="1"/>
  <c r="K61" i="1"/>
  <c r="K50" i="1"/>
  <c r="K39" i="1"/>
  <c r="K40" i="1"/>
  <c r="K41" i="1"/>
  <c r="K42" i="1"/>
  <c r="K43" i="1"/>
  <c r="K44" i="1"/>
  <c r="K45" i="1"/>
  <c r="K46" i="1"/>
  <c r="K47" i="1"/>
  <c r="K48" i="1"/>
  <c r="K49" i="1"/>
  <c r="K38" i="1"/>
  <c r="K27" i="1"/>
  <c r="K28" i="1"/>
  <c r="K29" i="1"/>
  <c r="K30" i="1"/>
  <c r="K31" i="1"/>
  <c r="K32" i="1"/>
  <c r="K33" i="1"/>
  <c r="K34" i="1"/>
  <c r="K35" i="1"/>
  <c r="K36" i="1"/>
  <c r="K37" i="1"/>
  <c r="K26" i="1"/>
  <c r="K25" i="1"/>
  <c r="K18" i="1"/>
  <c r="K19" i="1"/>
  <c r="K20" i="1"/>
  <c r="K21" i="1"/>
  <c r="K22" i="1"/>
  <c r="K23" i="1"/>
  <c r="K24" i="1"/>
  <c r="K12" i="1"/>
  <c r="K15" i="1"/>
  <c r="K16" i="1"/>
  <c r="K17" i="1"/>
  <c r="K14" i="1"/>
  <c r="K5" i="1"/>
  <c r="K6" i="1" s="1"/>
  <c r="K7" i="1" s="1"/>
  <c r="K8" i="1" s="1"/>
  <c r="K9" i="1" s="1"/>
  <c r="K10" i="1" s="1"/>
  <c r="K11" i="1" s="1"/>
  <c r="K13" i="1" s="1"/>
  <c r="K4" i="1"/>
  <c r="K3" i="1"/>
  <c r="K2" i="1"/>
  <c r="J111" i="1"/>
  <c r="J112" i="1"/>
  <c r="J113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88" i="1"/>
  <c r="J89" i="1"/>
  <c r="J90" i="1"/>
  <c r="J91" i="1"/>
  <c r="J92" i="1"/>
  <c r="J93" i="1"/>
  <c r="J94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62" i="1"/>
  <c r="J63" i="1"/>
  <c r="J64" i="1"/>
  <c r="J65" i="1"/>
  <c r="J114" i="1" s="1"/>
  <c r="J66" i="1"/>
  <c r="J67" i="1"/>
  <c r="J68" i="1"/>
  <c r="J69" i="1"/>
  <c r="J70" i="1"/>
  <c r="J71" i="1"/>
  <c r="J72" i="1"/>
  <c r="J73" i="1"/>
  <c r="J52" i="1"/>
  <c r="J53" i="1"/>
  <c r="J54" i="1"/>
  <c r="J55" i="1"/>
  <c r="J56" i="1"/>
  <c r="J57" i="1"/>
  <c r="J58" i="1"/>
  <c r="J59" i="1"/>
  <c r="J60" i="1"/>
  <c r="J61" i="1"/>
  <c r="J51" i="1"/>
  <c r="J49" i="1"/>
  <c r="J48" i="1"/>
  <c r="J36" i="1"/>
  <c r="J37" i="1"/>
  <c r="J38" i="1"/>
  <c r="J39" i="1"/>
  <c r="J40" i="1"/>
  <c r="J41" i="1"/>
  <c r="J42" i="1"/>
  <c r="J43" i="1"/>
  <c r="J44" i="1"/>
  <c r="J45" i="1"/>
  <c r="J46" i="1"/>
  <c r="J47" i="1"/>
  <c r="J35" i="1"/>
  <c r="J17" i="1"/>
  <c r="J33" i="1"/>
  <c r="J34" i="1"/>
  <c r="J28" i="1"/>
  <c r="J29" i="1"/>
  <c r="J30" i="1"/>
  <c r="J31" i="1"/>
  <c r="J32" i="1"/>
  <c r="J27" i="1"/>
  <c r="J18" i="1"/>
  <c r="J10" i="1"/>
  <c r="J20" i="1"/>
  <c r="J21" i="1"/>
  <c r="J22" i="1"/>
  <c r="J23" i="1"/>
  <c r="J24" i="1"/>
  <c r="J25" i="1"/>
  <c r="J19" i="1"/>
  <c r="J15" i="1"/>
</calcChain>
</file>

<file path=xl/sharedStrings.xml><?xml version="1.0" encoding="utf-8"?>
<sst xmlns="http://schemas.openxmlformats.org/spreadsheetml/2006/main" count="267" uniqueCount="43">
  <si>
    <t>Total des actifs (en milliards d'ar)</t>
  </si>
  <si>
    <t>Crédits bruts à clientèle (en milliards d'ar)</t>
  </si>
  <si>
    <t>Dépôts de la clientèle (en milliards d'ar)</t>
  </si>
  <si>
    <t>Produit net bancaire (en milliards d'ar)</t>
  </si>
  <si>
    <t>Résultat net (en milliards d'ar)</t>
  </si>
  <si>
    <t>Année</t>
  </si>
  <si>
    <t>Nombres Agences</t>
  </si>
  <si>
    <t>Entité</t>
  </si>
  <si>
    <t>Type</t>
  </si>
  <si>
    <t>Ratio de solvabilité %</t>
  </si>
  <si>
    <t>Ratio de liquidité %</t>
  </si>
  <si>
    <t>PNB (en milliards d'ar)</t>
  </si>
  <si>
    <t>ROA %</t>
  </si>
  <si>
    <t>coefficient d'exploitation %</t>
  </si>
  <si>
    <t>taux CES %</t>
  </si>
  <si>
    <t>Banque 1</t>
  </si>
  <si>
    <t>Banque</t>
  </si>
  <si>
    <t>Banque 2</t>
  </si>
  <si>
    <t>Banque 3</t>
  </si>
  <si>
    <t>Banque 4</t>
  </si>
  <si>
    <t>Banque 5</t>
  </si>
  <si>
    <t>Banque 6</t>
  </si>
  <si>
    <t>Banque 7</t>
  </si>
  <si>
    <t>Banque 8</t>
  </si>
  <si>
    <t>Banque 9</t>
  </si>
  <si>
    <t>Banque 10</t>
  </si>
  <si>
    <t>Banque 11</t>
  </si>
  <si>
    <t>Banque 12</t>
  </si>
  <si>
    <t xml:space="preserve"> IMF1 </t>
  </si>
  <si>
    <t>IMF</t>
  </si>
  <si>
    <t xml:space="preserve"> IMF2 </t>
  </si>
  <si>
    <t xml:space="preserve"> IMF3 </t>
  </si>
  <si>
    <t xml:space="preserve"> IMF4 </t>
  </si>
  <si>
    <t xml:space="preserve"> IMF5 </t>
  </si>
  <si>
    <t xml:space="preserve"> IMF6 </t>
  </si>
  <si>
    <t xml:space="preserve"> IMF7 </t>
  </si>
  <si>
    <t xml:space="preserve"> IMF8 </t>
  </si>
  <si>
    <t xml:space="preserve"> IMF9 </t>
  </si>
  <si>
    <t xml:space="preserve"> IMF10 </t>
  </si>
  <si>
    <t xml:space="preserve"> IMF11 </t>
  </si>
  <si>
    <t xml:space="preserve"> IMF12 </t>
  </si>
  <si>
    <t xml:space="preserve"> IMF13 </t>
  </si>
  <si>
    <t>IMF14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</si>
</sst>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tabSelected="1" workbookViewId="0">
      <selection activeCell="O1" sqref="O1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326.7</v>
      </c>
      <c r="B2">
        <v>221.6</v>
      </c>
      <c r="C2">
        <v>205.1</v>
      </c>
      <c r="D2">
        <v>60.7</v>
      </c>
      <c r="E2">
        <v>13</v>
      </c>
      <c r="F2">
        <v>2019</v>
      </c>
      <c r="G2">
        <v>30</v>
      </c>
      <c r="H2" t="s">
        <v>15</v>
      </c>
      <c r="I2" t="s">
        <v>16</v>
      </c>
      <c r="J2">
        <v>8.92</v>
      </c>
      <c r="K2">
        <f>7.44</f>
        <v>7.44</v>
      </c>
      <c r="L2">
        <v>3648.279</v>
      </c>
      <c r="M2">
        <v>15.14</v>
      </c>
      <c r="N2">
        <v>8.75</v>
      </c>
      <c r="O2" s="2">
        <v>7.88</v>
      </c>
    </row>
    <row r="3" spans="1:15" x14ac:dyDescent="0.25">
      <c r="A3">
        <v>2534.4</v>
      </c>
      <c r="B3">
        <v>1404.7</v>
      </c>
      <c r="C3">
        <v>1858.3</v>
      </c>
      <c r="D3">
        <v>223.9</v>
      </c>
      <c r="E3">
        <v>87</v>
      </c>
      <c r="F3">
        <v>2019</v>
      </c>
      <c r="G3">
        <v>59</v>
      </c>
      <c r="H3" t="s">
        <v>17</v>
      </c>
      <c r="I3" t="s">
        <v>16</v>
      </c>
      <c r="J3">
        <v>11.5</v>
      </c>
      <c r="K3">
        <f>K2+1.5</f>
        <v>8.9400000000000013</v>
      </c>
      <c r="L3">
        <f>L2-100*2.5</f>
        <v>3398.279</v>
      </c>
      <c r="M3">
        <f>J3-K3+8</f>
        <v>10.559999999999999</v>
      </c>
      <c r="N3">
        <f>N2+6-2.5</f>
        <v>12.25</v>
      </c>
      <c r="O3" s="2">
        <f>O2+1</f>
        <v>8.879999999999999</v>
      </c>
    </row>
    <row r="4" spans="1:15" x14ac:dyDescent="0.25">
      <c r="A4">
        <v>353.1</v>
      </c>
      <c r="B4">
        <v>238.9</v>
      </c>
      <c r="C4">
        <v>288</v>
      </c>
      <c r="D4">
        <v>24.8</v>
      </c>
      <c r="E4">
        <v>3.3</v>
      </c>
      <c r="F4">
        <v>2019</v>
      </c>
      <c r="G4">
        <v>12</v>
      </c>
      <c r="H4" t="s">
        <v>18</v>
      </c>
      <c r="I4" t="s">
        <v>16</v>
      </c>
      <c r="J4">
        <v>11.7</v>
      </c>
      <c r="K4">
        <f>K3+1.5-5</f>
        <v>5.4400000000000013</v>
      </c>
      <c r="L4">
        <f t="shared" ref="L4:L13" si="0">L3-100*2.5</f>
        <v>3148.279</v>
      </c>
      <c r="M4">
        <f t="shared" ref="M4:M67" si="1">J4-K4+8</f>
        <v>14.259999999999998</v>
      </c>
      <c r="N4">
        <f>N3+6-2.5</f>
        <v>15.75</v>
      </c>
      <c r="O4">
        <v>8.48</v>
      </c>
    </row>
    <row r="5" spans="1:15" x14ac:dyDescent="0.25">
      <c r="A5">
        <v>48.4</v>
      </c>
      <c r="B5">
        <v>8.1999999999999993</v>
      </c>
      <c r="C5">
        <v>32.200000000000003</v>
      </c>
      <c r="D5">
        <v>8.1999999999999993</v>
      </c>
      <c r="E5">
        <v>1.3</v>
      </c>
      <c r="F5">
        <v>2019</v>
      </c>
      <c r="G5">
        <v>3</v>
      </c>
      <c r="H5" t="s">
        <v>19</v>
      </c>
      <c r="I5" t="s">
        <v>16</v>
      </c>
      <c r="J5">
        <v>10.5</v>
      </c>
      <c r="K5">
        <f t="shared" ref="K4:K21" si="2">K4+1.5</f>
        <v>6.9400000000000013</v>
      </c>
      <c r="L5">
        <f t="shared" si="0"/>
        <v>2898.279</v>
      </c>
      <c r="M5">
        <f t="shared" si="1"/>
        <v>11.559999999999999</v>
      </c>
      <c r="N5">
        <f t="shared" ref="N4:N11" si="3">N4+1-2.5</f>
        <v>14.25</v>
      </c>
      <c r="O5">
        <v>9</v>
      </c>
    </row>
    <row r="6" spans="1:15" x14ac:dyDescent="0.25">
      <c r="A6">
        <v>1924.8</v>
      </c>
      <c r="B6">
        <v>897.8</v>
      </c>
      <c r="C6">
        <v>1565.3</v>
      </c>
      <c r="D6">
        <v>169.1</v>
      </c>
      <c r="E6">
        <v>88.1</v>
      </c>
      <c r="F6">
        <v>2019</v>
      </c>
      <c r="G6">
        <v>20</v>
      </c>
      <c r="H6" t="s">
        <v>20</v>
      </c>
      <c r="I6" t="s">
        <v>16</v>
      </c>
      <c r="J6">
        <v>13.5</v>
      </c>
      <c r="K6">
        <f t="shared" si="2"/>
        <v>8.4400000000000013</v>
      </c>
      <c r="L6">
        <f t="shared" si="0"/>
        <v>2648.279</v>
      </c>
      <c r="M6">
        <f t="shared" si="1"/>
        <v>13.059999999999999</v>
      </c>
      <c r="N6">
        <f t="shared" si="3"/>
        <v>12.75</v>
      </c>
      <c r="O6">
        <v>9.1999999999999993</v>
      </c>
    </row>
    <row r="7" spans="1:15" x14ac:dyDescent="0.25">
      <c r="A7">
        <v>2854.7</v>
      </c>
      <c r="B7">
        <v>1614.2</v>
      </c>
      <c r="C7">
        <v>2245.3000000000002</v>
      </c>
      <c r="D7">
        <v>210.3</v>
      </c>
      <c r="E7">
        <v>72.8</v>
      </c>
      <c r="F7">
        <v>2019</v>
      </c>
      <c r="G7">
        <v>90</v>
      </c>
      <c r="H7" t="s">
        <v>21</v>
      </c>
      <c r="I7" t="s">
        <v>16</v>
      </c>
      <c r="J7">
        <v>8.5</v>
      </c>
      <c r="K7">
        <f t="shared" si="2"/>
        <v>9.9400000000000013</v>
      </c>
      <c r="L7">
        <f t="shared" si="0"/>
        <v>2398.279</v>
      </c>
      <c r="M7">
        <f t="shared" si="1"/>
        <v>6.5599999999999987</v>
      </c>
      <c r="N7">
        <f t="shared" si="3"/>
        <v>11.25</v>
      </c>
      <c r="O7">
        <v>10</v>
      </c>
    </row>
    <row r="8" spans="1:15" x14ac:dyDescent="0.25">
      <c r="A8">
        <v>2937.1</v>
      </c>
      <c r="B8">
        <v>1474.7</v>
      </c>
      <c r="C8">
        <v>2380.1</v>
      </c>
      <c r="D8">
        <v>240.8</v>
      </c>
      <c r="E8">
        <v>86.1</v>
      </c>
      <c r="F8">
        <v>2019</v>
      </c>
      <c r="G8">
        <v>92</v>
      </c>
      <c r="H8" t="s">
        <v>22</v>
      </c>
      <c r="I8" t="s">
        <v>16</v>
      </c>
      <c r="J8">
        <v>10.11</v>
      </c>
      <c r="K8">
        <f t="shared" si="2"/>
        <v>11.440000000000001</v>
      </c>
      <c r="L8">
        <f t="shared" si="0"/>
        <v>2148.279</v>
      </c>
      <c r="M8">
        <f t="shared" si="1"/>
        <v>6.6699999999999982</v>
      </c>
      <c r="N8">
        <f t="shared" si="3"/>
        <v>9.75</v>
      </c>
      <c r="O8">
        <v>6.89</v>
      </c>
    </row>
    <row r="9" spans="1:15" x14ac:dyDescent="0.25">
      <c r="A9">
        <v>644.6</v>
      </c>
      <c r="B9">
        <v>401.8</v>
      </c>
      <c r="C9">
        <v>379.8</v>
      </c>
      <c r="D9">
        <v>30.9</v>
      </c>
      <c r="E9">
        <v>7</v>
      </c>
      <c r="F9">
        <v>2019</v>
      </c>
      <c r="G9">
        <v>40</v>
      </c>
      <c r="H9" t="s">
        <v>23</v>
      </c>
      <c r="I9" t="s">
        <v>16</v>
      </c>
      <c r="J9">
        <v>12.2</v>
      </c>
      <c r="K9">
        <f t="shared" si="2"/>
        <v>12.940000000000001</v>
      </c>
      <c r="L9">
        <f t="shared" si="0"/>
        <v>1898.279</v>
      </c>
      <c r="M9">
        <f t="shared" si="1"/>
        <v>7.259999999999998</v>
      </c>
      <c r="N9">
        <f t="shared" si="3"/>
        <v>8.25</v>
      </c>
      <c r="O9">
        <v>7.55</v>
      </c>
    </row>
    <row r="10" spans="1:15" x14ac:dyDescent="0.25">
      <c r="A10">
        <v>295.89999999999998</v>
      </c>
      <c r="B10">
        <v>234.1</v>
      </c>
      <c r="C10">
        <v>200.2</v>
      </c>
      <c r="D10">
        <v>59.5</v>
      </c>
      <c r="E10">
        <v>1.2</v>
      </c>
      <c r="F10">
        <v>2019</v>
      </c>
      <c r="G10">
        <v>11</v>
      </c>
      <c r="H10" t="s">
        <v>24</v>
      </c>
      <c r="I10" t="s">
        <v>16</v>
      </c>
      <c r="J10">
        <f>10.1-15+20</f>
        <v>15.1</v>
      </c>
      <c r="K10">
        <f t="shared" si="2"/>
        <v>14.440000000000001</v>
      </c>
      <c r="L10">
        <f t="shared" si="0"/>
        <v>1648.279</v>
      </c>
      <c r="M10">
        <f t="shared" si="1"/>
        <v>8.6599999999999984</v>
      </c>
      <c r="N10">
        <f t="shared" si="3"/>
        <v>6.75</v>
      </c>
      <c r="O10">
        <v>5.99</v>
      </c>
    </row>
    <row r="11" spans="1:15" x14ac:dyDescent="0.25">
      <c r="A11">
        <v>204.2</v>
      </c>
      <c r="B11">
        <v>100.4</v>
      </c>
      <c r="C11">
        <v>167.3</v>
      </c>
      <c r="D11">
        <v>10.4</v>
      </c>
      <c r="E11">
        <v>-4.3</v>
      </c>
      <c r="F11">
        <v>2019</v>
      </c>
      <c r="G11">
        <v>5</v>
      </c>
      <c r="H11" t="s">
        <v>25</v>
      </c>
      <c r="I11" t="s">
        <v>16</v>
      </c>
      <c r="J11">
        <v>14.3</v>
      </c>
      <c r="K11">
        <f>K10+1.5</f>
        <v>15.940000000000001</v>
      </c>
      <c r="L11">
        <f t="shared" si="0"/>
        <v>1398.279</v>
      </c>
      <c r="M11">
        <f t="shared" si="1"/>
        <v>6.3599999999999994</v>
      </c>
      <c r="N11">
        <f>N10+6-2.5</f>
        <v>10.25</v>
      </c>
      <c r="O11">
        <v>12</v>
      </c>
    </row>
    <row r="12" spans="1:15" x14ac:dyDescent="0.25">
      <c r="A12">
        <v>116</v>
      </c>
      <c r="B12">
        <v>71.599999999999994</v>
      </c>
      <c r="C12">
        <v>63.6</v>
      </c>
      <c r="D12">
        <v>16.2</v>
      </c>
      <c r="E12">
        <v>1.7</v>
      </c>
      <c r="F12">
        <v>2019</v>
      </c>
      <c r="G12">
        <v>21</v>
      </c>
      <c r="H12" t="s">
        <v>26</v>
      </c>
      <c r="I12" t="s">
        <v>16</v>
      </c>
      <c r="J12">
        <v>10.9</v>
      </c>
      <c r="K12">
        <f>K11+1.5-6</f>
        <v>11.440000000000001</v>
      </c>
      <c r="L12">
        <f t="shared" si="0"/>
        <v>1148.279</v>
      </c>
      <c r="M12">
        <f t="shared" si="1"/>
        <v>7.4599999999999991</v>
      </c>
      <c r="N12">
        <f t="shared" ref="N12:N13" si="4">N11+6-2.5</f>
        <v>13.75</v>
      </c>
      <c r="O12">
        <v>11.2</v>
      </c>
    </row>
    <row r="13" spans="1:15" x14ac:dyDescent="0.25">
      <c r="A13">
        <v>510.8</v>
      </c>
      <c r="B13">
        <v>80</v>
      </c>
      <c r="C13">
        <v>281.60000000000002</v>
      </c>
      <c r="D13">
        <v>51.3</v>
      </c>
      <c r="E13">
        <v>14.1</v>
      </c>
      <c r="F13">
        <v>2019</v>
      </c>
      <c r="G13">
        <v>11.65823908703087</v>
      </c>
      <c r="H13" t="s">
        <v>27</v>
      </c>
      <c r="I13" t="s">
        <v>16</v>
      </c>
      <c r="J13">
        <v>11.8</v>
      </c>
      <c r="K13">
        <f>K12+1.5-5.12</f>
        <v>7.8200000000000012</v>
      </c>
      <c r="L13">
        <f t="shared" si="0"/>
        <v>898.279</v>
      </c>
      <c r="M13">
        <f t="shared" si="1"/>
        <v>11.98</v>
      </c>
      <c r="N13">
        <f>N12+6-6.5</f>
        <v>13.25</v>
      </c>
      <c r="O13">
        <v>7.32</v>
      </c>
    </row>
    <row r="14" spans="1:15" x14ac:dyDescent="0.25">
      <c r="A14">
        <v>348.1</v>
      </c>
      <c r="B14">
        <v>189.1</v>
      </c>
      <c r="C14">
        <v>223.1</v>
      </c>
      <c r="D14">
        <v>52.6</v>
      </c>
      <c r="E14">
        <v>8.9</v>
      </c>
      <c r="F14">
        <v>2020</v>
      </c>
      <c r="G14">
        <v>30</v>
      </c>
      <c r="H14" t="s">
        <v>15</v>
      </c>
      <c r="I14" t="s">
        <v>16</v>
      </c>
      <c r="J14">
        <v>8.5</v>
      </c>
      <c r="K14">
        <f>K2+2</f>
        <v>9.4400000000000013</v>
      </c>
      <c r="L14">
        <f>L2+100*3.5</f>
        <v>3998.279</v>
      </c>
      <c r="M14">
        <f t="shared" si="1"/>
        <v>7.0599999999999987</v>
      </c>
      <c r="N14" s="2">
        <f>N2+2/5</f>
        <v>9.15</v>
      </c>
      <c r="O14" s="2">
        <f>O2+1</f>
        <v>8.879999999999999</v>
      </c>
    </row>
    <row r="15" spans="1:15" x14ac:dyDescent="0.25">
      <c r="A15">
        <v>3040.8</v>
      </c>
      <c r="B15">
        <v>1671</v>
      </c>
      <c r="C15">
        <v>2141</v>
      </c>
      <c r="D15">
        <v>244.8</v>
      </c>
      <c r="E15">
        <v>86.5</v>
      </c>
      <c r="F15">
        <v>2020</v>
      </c>
      <c r="G15">
        <v>63</v>
      </c>
      <c r="H15" t="s">
        <v>17</v>
      </c>
      <c r="I15" t="s">
        <v>16</v>
      </c>
      <c r="J15">
        <f>J2-12+20</f>
        <v>16.920000000000002</v>
      </c>
      <c r="K15">
        <f t="shared" ref="K15:K25" si="5">K3+2</f>
        <v>10.940000000000001</v>
      </c>
      <c r="L15">
        <f t="shared" ref="L15:L61" si="6">L3+100*3.5</f>
        <v>3748.279</v>
      </c>
      <c r="M15">
        <f t="shared" si="1"/>
        <v>13.98</v>
      </c>
      <c r="N15" s="2">
        <f t="shared" ref="N15:N64" si="7">N3+2/5</f>
        <v>12.65</v>
      </c>
      <c r="O15" s="2">
        <f t="shared" ref="O15:O25" si="8">O3+1</f>
        <v>9.879999999999999</v>
      </c>
    </row>
    <row r="16" spans="1:15" x14ac:dyDescent="0.25">
      <c r="A16">
        <v>410.8</v>
      </c>
      <c r="B16">
        <v>295.10000000000002</v>
      </c>
      <c r="C16">
        <v>330.6</v>
      </c>
      <c r="D16">
        <v>31.7</v>
      </c>
      <c r="E16">
        <v>0.2</v>
      </c>
      <c r="F16">
        <v>2020</v>
      </c>
      <c r="G16">
        <v>16</v>
      </c>
      <c r="H16" t="s">
        <v>18</v>
      </c>
      <c r="I16" t="s">
        <v>16</v>
      </c>
      <c r="J16">
        <f>J3-12+15</f>
        <v>14.5</v>
      </c>
      <c r="K16">
        <f t="shared" si="5"/>
        <v>7.4400000000000013</v>
      </c>
      <c r="L16">
        <f t="shared" si="6"/>
        <v>3498.279</v>
      </c>
      <c r="M16">
        <f t="shared" si="1"/>
        <v>15.059999999999999</v>
      </c>
      <c r="N16" s="2">
        <f t="shared" si="7"/>
        <v>16.149999999999999</v>
      </c>
      <c r="O16" s="2">
        <f t="shared" si="8"/>
        <v>9.48</v>
      </c>
    </row>
    <row r="17" spans="1:15" x14ac:dyDescent="0.25">
      <c r="A17">
        <v>46.7</v>
      </c>
      <c r="B17">
        <v>11.1</v>
      </c>
      <c r="C17">
        <v>29.9</v>
      </c>
      <c r="D17">
        <v>9.3000000000000007</v>
      </c>
      <c r="E17">
        <v>-0.9</v>
      </c>
      <c r="F17">
        <v>2020</v>
      </c>
      <c r="G17">
        <v>6</v>
      </c>
      <c r="H17" t="s">
        <v>19</v>
      </c>
      <c r="I17" t="s">
        <v>16</v>
      </c>
      <c r="J17">
        <f t="shared" ref="J16:J34" si="9">J4-12+20</f>
        <v>19.7</v>
      </c>
      <c r="K17">
        <f t="shared" si="5"/>
        <v>8.9400000000000013</v>
      </c>
      <c r="L17">
        <f t="shared" si="6"/>
        <v>3248.279</v>
      </c>
      <c r="M17">
        <f t="shared" si="1"/>
        <v>18.759999999999998</v>
      </c>
      <c r="N17" s="2">
        <f t="shared" si="7"/>
        <v>14.65</v>
      </c>
      <c r="O17" s="2">
        <f t="shared" si="8"/>
        <v>10</v>
      </c>
    </row>
    <row r="18" spans="1:15" x14ac:dyDescent="0.25">
      <c r="A18">
        <v>2129.1</v>
      </c>
      <c r="B18">
        <v>971.1</v>
      </c>
      <c r="C18">
        <v>1757.9</v>
      </c>
      <c r="D18">
        <v>164.5</v>
      </c>
      <c r="E18">
        <v>70.2</v>
      </c>
      <c r="F18">
        <v>2020</v>
      </c>
      <c r="G18">
        <v>20</v>
      </c>
      <c r="H18" t="s">
        <v>20</v>
      </c>
      <c r="I18" t="s">
        <v>16</v>
      </c>
      <c r="J18">
        <f>J5-18+20</f>
        <v>12.5</v>
      </c>
      <c r="K18">
        <f t="shared" si="5"/>
        <v>10.440000000000001</v>
      </c>
      <c r="L18">
        <f t="shared" si="6"/>
        <v>2998.279</v>
      </c>
      <c r="M18">
        <f t="shared" si="1"/>
        <v>10.059999999999999</v>
      </c>
      <c r="N18" s="2">
        <f t="shared" si="7"/>
        <v>13.15</v>
      </c>
      <c r="O18" s="2">
        <f t="shared" si="8"/>
        <v>10.199999999999999</v>
      </c>
    </row>
    <row r="19" spans="1:15" x14ac:dyDescent="0.25">
      <c r="A19">
        <v>3326.8</v>
      </c>
      <c r="B19">
        <v>1893.7</v>
      </c>
      <c r="C19">
        <v>2612.3000000000002</v>
      </c>
      <c r="D19">
        <v>226.1</v>
      </c>
      <c r="E19">
        <v>68.900000000000006</v>
      </c>
      <c r="F19">
        <v>2020</v>
      </c>
      <c r="G19">
        <v>100</v>
      </c>
      <c r="H19" t="s">
        <v>21</v>
      </c>
      <c r="I19" t="s">
        <v>16</v>
      </c>
      <c r="J19">
        <f>J6-22+20</f>
        <v>11.5</v>
      </c>
      <c r="K19">
        <f t="shared" si="5"/>
        <v>11.940000000000001</v>
      </c>
      <c r="L19">
        <f t="shared" si="6"/>
        <v>2748.279</v>
      </c>
      <c r="M19">
        <f t="shared" si="1"/>
        <v>7.5599999999999987</v>
      </c>
      <c r="N19" s="2">
        <f t="shared" si="7"/>
        <v>11.65</v>
      </c>
      <c r="O19" s="2">
        <f t="shared" si="8"/>
        <v>11</v>
      </c>
    </row>
    <row r="20" spans="1:15" x14ac:dyDescent="0.25">
      <c r="A20">
        <v>3198.8</v>
      </c>
      <c r="B20">
        <v>1706.2</v>
      </c>
      <c r="C20">
        <v>2662.7</v>
      </c>
      <c r="D20">
        <v>251.7</v>
      </c>
      <c r="E20">
        <v>73.2</v>
      </c>
      <c r="F20">
        <v>2020</v>
      </c>
      <c r="G20">
        <v>94</v>
      </c>
      <c r="H20" t="s">
        <v>22</v>
      </c>
      <c r="I20" t="s">
        <v>16</v>
      </c>
      <c r="J20">
        <f t="shared" ref="J20:J25" si="10">J7-22+20</f>
        <v>6.5</v>
      </c>
      <c r="K20">
        <f t="shared" si="5"/>
        <v>13.440000000000001</v>
      </c>
      <c r="L20">
        <f t="shared" si="6"/>
        <v>2498.279</v>
      </c>
      <c r="M20">
        <f t="shared" si="1"/>
        <v>1.0599999999999987</v>
      </c>
      <c r="N20" s="2">
        <f t="shared" si="7"/>
        <v>10.15</v>
      </c>
      <c r="O20" s="2">
        <f t="shared" si="8"/>
        <v>7.89</v>
      </c>
    </row>
    <row r="21" spans="1:15" x14ac:dyDescent="0.25">
      <c r="A21">
        <v>774.3</v>
      </c>
      <c r="B21">
        <v>494.6</v>
      </c>
      <c r="C21">
        <v>475</v>
      </c>
      <c r="D21">
        <v>32.6</v>
      </c>
      <c r="E21">
        <v>4.5999999999999996</v>
      </c>
      <c r="F21">
        <v>2020</v>
      </c>
      <c r="G21">
        <v>40</v>
      </c>
      <c r="H21" t="s">
        <v>23</v>
      </c>
      <c r="I21" t="s">
        <v>16</v>
      </c>
      <c r="J21">
        <f t="shared" si="10"/>
        <v>8.11</v>
      </c>
      <c r="K21">
        <f t="shared" si="5"/>
        <v>14.940000000000001</v>
      </c>
      <c r="L21">
        <f t="shared" si="6"/>
        <v>2248.279</v>
      </c>
      <c r="M21">
        <f t="shared" si="1"/>
        <v>1.1699999999999982</v>
      </c>
      <c r="N21" s="2">
        <f t="shared" si="7"/>
        <v>8.65</v>
      </c>
      <c r="O21" s="2">
        <f t="shared" si="8"/>
        <v>8.5500000000000007</v>
      </c>
    </row>
    <row r="22" spans="1:15" x14ac:dyDescent="0.25">
      <c r="A22">
        <v>295.60000000000002</v>
      </c>
      <c r="B22">
        <v>206.9</v>
      </c>
      <c r="C22">
        <v>232.1</v>
      </c>
      <c r="D22">
        <v>46.6</v>
      </c>
      <c r="E22">
        <v>1.5</v>
      </c>
      <c r="F22">
        <v>2020</v>
      </c>
      <c r="G22">
        <v>12</v>
      </c>
      <c r="H22" t="s">
        <v>24</v>
      </c>
      <c r="I22" t="s">
        <v>16</v>
      </c>
      <c r="J22">
        <f t="shared" si="10"/>
        <v>10.199999999999999</v>
      </c>
      <c r="K22">
        <f t="shared" si="5"/>
        <v>16.440000000000001</v>
      </c>
      <c r="L22">
        <f t="shared" si="6"/>
        <v>1998.279</v>
      </c>
      <c r="M22">
        <f t="shared" si="1"/>
        <v>1.759999999999998</v>
      </c>
      <c r="N22" s="2">
        <f t="shared" si="7"/>
        <v>7.15</v>
      </c>
      <c r="O22" s="2">
        <f t="shared" si="8"/>
        <v>6.99</v>
      </c>
    </row>
    <row r="23" spans="1:15" x14ac:dyDescent="0.25">
      <c r="A23">
        <v>221.1</v>
      </c>
      <c r="B23">
        <v>89.1</v>
      </c>
      <c r="C23">
        <v>161.4</v>
      </c>
      <c r="D23">
        <v>14.7</v>
      </c>
      <c r="E23">
        <v>12.5</v>
      </c>
      <c r="F23">
        <v>2020</v>
      </c>
      <c r="G23">
        <v>6</v>
      </c>
      <c r="H23" t="s">
        <v>25</v>
      </c>
      <c r="I23" t="s">
        <v>16</v>
      </c>
      <c r="J23">
        <f t="shared" si="10"/>
        <v>13.1</v>
      </c>
      <c r="K23">
        <f t="shared" si="5"/>
        <v>17.940000000000001</v>
      </c>
      <c r="L23">
        <f t="shared" si="6"/>
        <v>1748.279</v>
      </c>
      <c r="M23">
        <f t="shared" si="1"/>
        <v>3.1599999999999984</v>
      </c>
      <c r="N23" s="2">
        <f t="shared" si="7"/>
        <v>10.65</v>
      </c>
      <c r="O23" s="2">
        <f t="shared" si="8"/>
        <v>13</v>
      </c>
    </row>
    <row r="24" spans="1:15" x14ac:dyDescent="0.25">
      <c r="A24">
        <v>141.9</v>
      </c>
      <c r="B24">
        <v>79.900000000000006</v>
      </c>
      <c r="C24">
        <v>65.400000000000006</v>
      </c>
      <c r="D24">
        <v>17.5</v>
      </c>
      <c r="E24">
        <v>2.1</v>
      </c>
      <c r="F24">
        <v>2020</v>
      </c>
      <c r="G24">
        <v>22</v>
      </c>
      <c r="H24" t="s">
        <v>26</v>
      </c>
      <c r="I24" t="s">
        <v>16</v>
      </c>
      <c r="J24">
        <f t="shared" si="10"/>
        <v>12.3</v>
      </c>
      <c r="K24">
        <f t="shared" si="5"/>
        <v>13.440000000000001</v>
      </c>
      <c r="L24">
        <f t="shared" si="6"/>
        <v>1498.279</v>
      </c>
      <c r="M24">
        <f t="shared" si="1"/>
        <v>6.8599999999999994</v>
      </c>
      <c r="N24" s="2">
        <f t="shared" si="7"/>
        <v>14.15</v>
      </c>
      <c r="O24" s="2">
        <f>O12+1</f>
        <v>12.2</v>
      </c>
    </row>
    <row r="25" spans="1:15" x14ac:dyDescent="0.25">
      <c r="A25">
        <v>540.29999999999995</v>
      </c>
      <c r="B25">
        <v>81.8</v>
      </c>
      <c r="C25">
        <v>287.39999999999998</v>
      </c>
      <c r="D25">
        <v>86.8</v>
      </c>
      <c r="E25">
        <v>23.5</v>
      </c>
      <c r="F25">
        <v>2020</v>
      </c>
      <c r="G25">
        <v>11.65823908703087</v>
      </c>
      <c r="H25" t="s">
        <v>27</v>
      </c>
      <c r="I25" t="s">
        <v>16</v>
      </c>
      <c r="J25">
        <f t="shared" si="10"/>
        <v>8.9</v>
      </c>
      <c r="K25">
        <f t="shared" si="5"/>
        <v>9.82</v>
      </c>
      <c r="L25">
        <f t="shared" si="6"/>
        <v>1248.279</v>
      </c>
      <c r="M25">
        <f t="shared" si="1"/>
        <v>7.08</v>
      </c>
      <c r="N25" s="2">
        <f t="shared" si="7"/>
        <v>13.65</v>
      </c>
      <c r="O25" s="2">
        <f t="shared" si="8"/>
        <v>8.32</v>
      </c>
    </row>
    <row r="26" spans="1:15" x14ac:dyDescent="0.25">
      <c r="A26">
        <v>339.7</v>
      </c>
      <c r="B26">
        <v>238.1</v>
      </c>
      <c r="C26">
        <v>214</v>
      </c>
      <c r="D26">
        <v>57.9</v>
      </c>
      <c r="E26">
        <v>9.1</v>
      </c>
      <c r="F26">
        <v>2021</v>
      </c>
      <c r="G26">
        <v>30</v>
      </c>
      <c r="H26" t="s">
        <v>15</v>
      </c>
      <c r="I26" t="s">
        <v>16</v>
      </c>
      <c r="J26">
        <v>10.29</v>
      </c>
      <c r="K26">
        <f>K14+1</f>
        <v>10.440000000000001</v>
      </c>
      <c r="L26">
        <f t="shared" si="6"/>
        <v>4348.2790000000005</v>
      </c>
      <c r="M26">
        <f t="shared" si="1"/>
        <v>7.8499999999999979</v>
      </c>
      <c r="N26" s="2">
        <f t="shared" si="7"/>
        <v>9.5500000000000007</v>
      </c>
      <c r="O26" s="2">
        <f>O2-1.55</f>
        <v>6.33</v>
      </c>
    </row>
    <row r="27" spans="1:15" x14ac:dyDescent="0.25">
      <c r="A27">
        <v>3658.5</v>
      </c>
      <c r="B27">
        <v>2224.9</v>
      </c>
      <c r="C27">
        <v>2572.9</v>
      </c>
      <c r="D27">
        <v>285</v>
      </c>
      <c r="E27">
        <v>99</v>
      </c>
      <c r="F27">
        <v>2021</v>
      </c>
      <c r="G27">
        <v>63</v>
      </c>
      <c r="H27" t="s">
        <v>17</v>
      </c>
      <c r="I27" t="s">
        <v>16</v>
      </c>
      <c r="J27">
        <f>20-J19</f>
        <v>8.5</v>
      </c>
      <c r="K27">
        <f t="shared" ref="K27:K37" si="11">K15+1</f>
        <v>11.940000000000001</v>
      </c>
      <c r="L27">
        <f t="shared" si="6"/>
        <v>4098.2790000000005</v>
      </c>
      <c r="M27">
        <f t="shared" si="1"/>
        <v>4.5599999999999987</v>
      </c>
      <c r="N27" s="2">
        <f t="shared" si="7"/>
        <v>13.05</v>
      </c>
      <c r="O27" s="2">
        <f t="shared" ref="O27:O50" si="12">O3-1.55</f>
        <v>7.3299999999999992</v>
      </c>
    </row>
    <row r="28" spans="1:15" x14ac:dyDescent="0.25">
      <c r="A28">
        <v>399</v>
      </c>
      <c r="B28">
        <v>299.7</v>
      </c>
      <c r="C28">
        <v>296.3</v>
      </c>
      <c r="D28">
        <v>24.8</v>
      </c>
      <c r="E28">
        <v>-13.4</v>
      </c>
      <c r="F28">
        <v>2021</v>
      </c>
      <c r="G28">
        <v>16</v>
      </c>
      <c r="H28" t="s">
        <v>18</v>
      </c>
      <c r="I28" t="s">
        <v>16</v>
      </c>
      <c r="J28">
        <f t="shared" ref="J28:J37" si="13">20-J20</f>
        <v>13.5</v>
      </c>
      <c r="K28">
        <f t="shared" si="11"/>
        <v>8.4400000000000013</v>
      </c>
      <c r="L28">
        <f t="shared" si="6"/>
        <v>3848.279</v>
      </c>
      <c r="M28">
        <f t="shared" si="1"/>
        <v>13.059999999999999</v>
      </c>
      <c r="N28" s="2">
        <f t="shared" si="7"/>
        <v>16.549999999999997</v>
      </c>
      <c r="O28" s="2">
        <f t="shared" si="12"/>
        <v>6.9300000000000006</v>
      </c>
    </row>
    <row r="29" spans="1:15" x14ac:dyDescent="0.25">
      <c r="A29">
        <v>83.3</v>
      </c>
      <c r="B29">
        <v>45</v>
      </c>
      <c r="C29">
        <v>71.099999999999994</v>
      </c>
      <c r="D29">
        <v>11.8</v>
      </c>
      <c r="E29">
        <v>-4.0999999999999996</v>
      </c>
      <c r="F29">
        <v>2021</v>
      </c>
      <c r="G29">
        <v>8</v>
      </c>
      <c r="H29" t="s">
        <v>19</v>
      </c>
      <c r="I29" t="s">
        <v>16</v>
      </c>
      <c r="J29">
        <f t="shared" si="13"/>
        <v>11.89</v>
      </c>
      <c r="K29">
        <f t="shared" si="11"/>
        <v>9.9400000000000013</v>
      </c>
      <c r="L29">
        <f t="shared" si="6"/>
        <v>3598.279</v>
      </c>
      <c r="M29">
        <f t="shared" si="1"/>
        <v>9.9499999999999993</v>
      </c>
      <c r="N29" s="2">
        <f t="shared" si="7"/>
        <v>15.05</v>
      </c>
      <c r="O29" s="2">
        <f t="shared" si="12"/>
        <v>7.45</v>
      </c>
    </row>
    <row r="30" spans="1:15" x14ac:dyDescent="0.25">
      <c r="A30">
        <v>2301.6</v>
      </c>
      <c r="B30">
        <v>1104.8</v>
      </c>
      <c r="C30">
        <v>1833</v>
      </c>
      <c r="D30">
        <v>181</v>
      </c>
      <c r="E30">
        <v>90.2</v>
      </c>
      <c r="F30">
        <v>2021</v>
      </c>
      <c r="G30">
        <v>21</v>
      </c>
      <c r="H30" t="s">
        <v>20</v>
      </c>
      <c r="I30" t="s">
        <v>16</v>
      </c>
      <c r="J30">
        <f t="shared" si="13"/>
        <v>9.8000000000000007</v>
      </c>
      <c r="K30">
        <f t="shared" si="11"/>
        <v>11.440000000000001</v>
      </c>
      <c r="L30">
        <f t="shared" si="6"/>
        <v>3348.279</v>
      </c>
      <c r="M30">
        <f t="shared" si="1"/>
        <v>6.3599999999999994</v>
      </c>
      <c r="N30" s="2">
        <f t="shared" si="7"/>
        <v>13.55</v>
      </c>
      <c r="O30" s="2">
        <f t="shared" si="12"/>
        <v>7.6499999999999995</v>
      </c>
    </row>
    <row r="31" spans="1:15" x14ac:dyDescent="0.25">
      <c r="A31">
        <v>3880.5</v>
      </c>
      <c r="B31">
        <v>2301.4</v>
      </c>
      <c r="C31">
        <v>2875.3</v>
      </c>
      <c r="D31">
        <v>251.6</v>
      </c>
      <c r="E31">
        <v>77.3</v>
      </c>
      <c r="F31">
        <v>2021</v>
      </c>
      <c r="G31">
        <v>106</v>
      </c>
      <c r="H31" t="s">
        <v>21</v>
      </c>
      <c r="I31" t="s">
        <v>16</v>
      </c>
      <c r="J31">
        <f t="shared" si="13"/>
        <v>6.9</v>
      </c>
      <c r="K31">
        <f t="shared" si="11"/>
        <v>12.940000000000001</v>
      </c>
      <c r="L31">
        <f t="shared" si="6"/>
        <v>3098.279</v>
      </c>
      <c r="M31">
        <f t="shared" si="1"/>
        <v>1.9599999999999991</v>
      </c>
      <c r="N31" s="2">
        <f>N19+2/5</f>
        <v>12.05</v>
      </c>
      <c r="O31" s="2">
        <f t="shared" si="12"/>
        <v>8.4499999999999993</v>
      </c>
    </row>
    <row r="32" spans="1:15" x14ac:dyDescent="0.25">
      <c r="A32">
        <v>3599.6</v>
      </c>
      <c r="B32">
        <v>2089</v>
      </c>
      <c r="C32">
        <v>2859.5</v>
      </c>
      <c r="D32">
        <v>282.8</v>
      </c>
      <c r="E32">
        <v>93.5</v>
      </c>
      <c r="F32">
        <v>2021</v>
      </c>
      <c r="G32">
        <v>96</v>
      </c>
      <c r="H32" t="s">
        <v>22</v>
      </c>
      <c r="I32" t="s">
        <v>16</v>
      </c>
      <c r="J32">
        <f t="shared" si="13"/>
        <v>7.6999999999999993</v>
      </c>
      <c r="K32">
        <f t="shared" si="11"/>
        <v>14.440000000000001</v>
      </c>
      <c r="L32">
        <f t="shared" si="6"/>
        <v>2848.279</v>
      </c>
      <c r="M32">
        <f t="shared" si="1"/>
        <v>1.259999999999998</v>
      </c>
      <c r="N32" s="2">
        <f t="shared" si="7"/>
        <v>10.55</v>
      </c>
      <c r="O32" s="2">
        <f t="shared" si="12"/>
        <v>5.34</v>
      </c>
    </row>
    <row r="33" spans="1:15" x14ac:dyDescent="0.25">
      <c r="A33">
        <v>321.39999999999998</v>
      </c>
      <c r="B33">
        <v>230.3</v>
      </c>
      <c r="C33">
        <v>256.60000000000002</v>
      </c>
      <c r="D33">
        <v>43.4</v>
      </c>
      <c r="E33">
        <v>5.3</v>
      </c>
      <c r="F33">
        <v>2021</v>
      </c>
      <c r="G33">
        <v>40</v>
      </c>
      <c r="H33" t="s">
        <v>23</v>
      </c>
      <c r="I33" t="s">
        <v>16</v>
      </c>
      <c r="J33">
        <f>20-J25</f>
        <v>11.1</v>
      </c>
      <c r="K33">
        <f t="shared" si="11"/>
        <v>15.940000000000001</v>
      </c>
      <c r="L33">
        <f t="shared" si="6"/>
        <v>2598.279</v>
      </c>
      <c r="M33">
        <f t="shared" si="1"/>
        <v>3.1599999999999984</v>
      </c>
      <c r="N33" s="2">
        <f t="shared" si="7"/>
        <v>9.0500000000000007</v>
      </c>
      <c r="O33" s="2">
        <f t="shared" si="12"/>
        <v>6</v>
      </c>
    </row>
    <row r="34" spans="1:15" x14ac:dyDescent="0.25">
      <c r="A34">
        <v>948.8</v>
      </c>
      <c r="B34">
        <v>538.70000000000005</v>
      </c>
      <c r="C34">
        <v>544.20000000000005</v>
      </c>
      <c r="D34">
        <v>40</v>
      </c>
      <c r="E34">
        <v>7.2</v>
      </c>
      <c r="F34">
        <v>2021</v>
      </c>
      <c r="G34">
        <v>13</v>
      </c>
      <c r="H34" t="s">
        <v>24</v>
      </c>
      <c r="I34" t="s">
        <v>16</v>
      </c>
      <c r="J34">
        <f t="shared" si="13"/>
        <v>9.7100000000000009</v>
      </c>
      <c r="K34">
        <f t="shared" si="11"/>
        <v>17.440000000000001</v>
      </c>
      <c r="L34">
        <f t="shared" si="6"/>
        <v>2348.279</v>
      </c>
      <c r="M34">
        <f t="shared" si="1"/>
        <v>0.26999999999999957</v>
      </c>
      <c r="N34" s="2">
        <f t="shared" si="7"/>
        <v>7.5500000000000007</v>
      </c>
      <c r="O34" s="2">
        <f t="shared" si="12"/>
        <v>4.4400000000000004</v>
      </c>
    </row>
    <row r="35" spans="1:15" x14ac:dyDescent="0.25">
      <c r="A35">
        <v>199.3</v>
      </c>
      <c r="B35">
        <v>77.8</v>
      </c>
      <c r="C35">
        <v>152.80000000000001</v>
      </c>
      <c r="D35">
        <v>20.100000000000001</v>
      </c>
      <c r="E35">
        <v>6.6</v>
      </c>
      <c r="F35">
        <v>2021</v>
      </c>
      <c r="G35">
        <v>6</v>
      </c>
      <c r="H35" t="s">
        <v>25</v>
      </c>
      <c r="I35" t="s">
        <v>16</v>
      </c>
      <c r="J35">
        <f>2+J24</f>
        <v>14.3</v>
      </c>
      <c r="K35">
        <f t="shared" si="11"/>
        <v>18.940000000000001</v>
      </c>
      <c r="L35">
        <f t="shared" si="6"/>
        <v>2098.279</v>
      </c>
      <c r="M35">
        <f t="shared" si="1"/>
        <v>3.3599999999999994</v>
      </c>
      <c r="N35" s="2">
        <f t="shared" si="7"/>
        <v>11.05</v>
      </c>
      <c r="O35" s="2">
        <f t="shared" si="12"/>
        <v>10.45</v>
      </c>
    </row>
    <row r="36" spans="1:15" x14ac:dyDescent="0.25">
      <c r="A36">
        <v>130.5</v>
      </c>
      <c r="B36">
        <v>75.3</v>
      </c>
      <c r="C36">
        <v>78.8</v>
      </c>
      <c r="D36">
        <v>17.5</v>
      </c>
      <c r="E36">
        <v>2</v>
      </c>
      <c r="F36">
        <v>2021</v>
      </c>
      <c r="G36">
        <v>26</v>
      </c>
      <c r="H36" t="s">
        <v>26</v>
      </c>
      <c r="I36" t="s">
        <v>16</v>
      </c>
      <c r="J36">
        <f t="shared" ref="J36:J47" si="14">2+J25</f>
        <v>10.9</v>
      </c>
      <c r="K36">
        <f t="shared" si="11"/>
        <v>14.440000000000001</v>
      </c>
      <c r="L36">
        <f t="shared" si="6"/>
        <v>1848.279</v>
      </c>
      <c r="M36">
        <f t="shared" si="1"/>
        <v>4.4599999999999991</v>
      </c>
      <c r="N36" s="2">
        <f t="shared" si="7"/>
        <v>14.55</v>
      </c>
      <c r="O36" s="2">
        <f t="shared" si="12"/>
        <v>9.6499999999999986</v>
      </c>
    </row>
    <row r="37" spans="1:15" x14ac:dyDescent="0.25">
      <c r="A37">
        <v>363.1</v>
      </c>
      <c r="B37">
        <v>21.6</v>
      </c>
      <c r="C37">
        <v>221.8</v>
      </c>
      <c r="D37">
        <v>116.1</v>
      </c>
      <c r="E37">
        <v>27.2</v>
      </c>
      <c r="F37">
        <v>2021</v>
      </c>
      <c r="G37">
        <v>159</v>
      </c>
      <c r="H37" t="s">
        <v>27</v>
      </c>
      <c r="I37" t="s">
        <v>16</v>
      </c>
      <c r="J37">
        <f t="shared" si="14"/>
        <v>12.29</v>
      </c>
      <c r="K37">
        <f t="shared" si="11"/>
        <v>10.82</v>
      </c>
      <c r="L37">
        <f t="shared" si="6"/>
        <v>1598.279</v>
      </c>
      <c r="M37">
        <f t="shared" si="1"/>
        <v>9.4699999999999989</v>
      </c>
      <c r="N37" s="2">
        <f t="shared" si="7"/>
        <v>14.05</v>
      </c>
      <c r="O37" s="2">
        <f t="shared" si="12"/>
        <v>5.7700000000000005</v>
      </c>
    </row>
    <row r="38" spans="1:15" x14ac:dyDescent="0.25">
      <c r="A38">
        <v>405.4</v>
      </c>
      <c r="B38">
        <v>304.5</v>
      </c>
      <c r="C38">
        <v>238.2</v>
      </c>
      <c r="D38">
        <v>82.3</v>
      </c>
      <c r="E38">
        <v>15.1</v>
      </c>
      <c r="F38">
        <v>2022</v>
      </c>
      <c r="G38">
        <v>32</v>
      </c>
      <c r="H38" t="s">
        <v>15</v>
      </c>
      <c r="I38" t="s">
        <v>16</v>
      </c>
      <c r="J38">
        <f t="shared" si="14"/>
        <v>10.5</v>
      </c>
      <c r="K38">
        <f>K26-0.89</f>
        <v>9.5500000000000007</v>
      </c>
      <c r="L38">
        <f t="shared" si="6"/>
        <v>4698.2790000000005</v>
      </c>
      <c r="M38">
        <f t="shared" si="1"/>
        <v>8.9499999999999993</v>
      </c>
      <c r="N38" s="2">
        <f t="shared" si="7"/>
        <v>9.9500000000000011</v>
      </c>
      <c r="O38" s="2">
        <f t="shared" si="12"/>
        <v>7.3299999999999992</v>
      </c>
    </row>
    <row r="39" spans="1:15" x14ac:dyDescent="0.25">
      <c r="A39">
        <v>4456.2</v>
      </c>
      <c r="B39">
        <v>2661</v>
      </c>
      <c r="C39">
        <v>3182.5</v>
      </c>
      <c r="D39">
        <v>359.8</v>
      </c>
      <c r="E39">
        <v>131.6</v>
      </c>
      <c r="F39">
        <v>2022</v>
      </c>
      <c r="G39">
        <v>67</v>
      </c>
      <c r="H39" t="s">
        <v>17</v>
      </c>
      <c r="I39" t="s">
        <v>16</v>
      </c>
      <c r="J39">
        <f t="shared" si="14"/>
        <v>15.5</v>
      </c>
      <c r="K39">
        <f t="shared" ref="K39:K49" si="15">K27-0.89</f>
        <v>11.05</v>
      </c>
      <c r="L39">
        <f t="shared" si="6"/>
        <v>4448.2790000000005</v>
      </c>
      <c r="M39">
        <f t="shared" si="1"/>
        <v>12.45</v>
      </c>
      <c r="N39" s="2">
        <f t="shared" si="7"/>
        <v>13.450000000000001</v>
      </c>
      <c r="O39" s="2">
        <f t="shared" si="12"/>
        <v>8.3299999999999983</v>
      </c>
    </row>
    <row r="40" spans="1:15" x14ac:dyDescent="0.25">
      <c r="A40">
        <v>309.8</v>
      </c>
      <c r="B40">
        <v>256.10000000000002</v>
      </c>
      <c r="C40">
        <v>207.3</v>
      </c>
      <c r="D40">
        <v>5.3</v>
      </c>
      <c r="E40">
        <v>-26.5</v>
      </c>
      <c r="F40">
        <v>2022</v>
      </c>
      <c r="G40">
        <v>16</v>
      </c>
      <c r="H40" t="s">
        <v>18</v>
      </c>
      <c r="I40" t="s">
        <v>16</v>
      </c>
      <c r="J40">
        <f t="shared" si="14"/>
        <v>13.89</v>
      </c>
      <c r="K40">
        <f t="shared" si="15"/>
        <v>7.5500000000000016</v>
      </c>
      <c r="L40">
        <f t="shared" si="6"/>
        <v>4198.2790000000005</v>
      </c>
      <c r="M40">
        <f t="shared" si="1"/>
        <v>14.34</v>
      </c>
      <c r="N40" s="2">
        <f t="shared" si="7"/>
        <v>16.949999999999996</v>
      </c>
      <c r="O40" s="2">
        <f t="shared" si="12"/>
        <v>7.9300000000000006</v>
      </c>
    </row>
    <row r="41" spans="1:15" x14ac:dyDescent="0.25">
      <c r="A41">
        <v>79.900000000000006</v>
      </c>
      <c r="B41">
        <v>52.1</v>
      </c>
      <c r="C41">
        <v>62.1</v>
      </c>
      <c r="D41">
        <v>12.3</v>
      </c>
      <c r="E41">
        <v>-3.7</v>
      </c>
      <c r="F41">
        <v>2022</v>
      </c>
      <c r="G41">
        <v>8</v>
      </c>
      <c r="H41" t="s">
        <v>19</v>
      </c>
      <c r="I41" t="s">
        <v>16</v>
      </c>
      <c r="J41">
        <f t="shared" si="14"/>
        <v>11.8</v>
      </c>
      <c r="K41">
        <f t="shared" si="15"/>
        <v>9.0500000000000007</v>
      </c>
      <c r="L41">
        <f t="shared" si="6"/>
        <v>3948.279</v>
      </c>
      <c r="M41">
        <f t="shared" si="1"/>
        <v>10.75</v>
      </c>
      <c r="N41" s="2">
        <f t="shared" si="7"/>
        <v>15.450000000000001</v>
      </c>
      <c r="O41" s="2">
        <f t="shared" si="12"/>
        <v>8.4499999999999993</v>
      </c>
    </row>
    <row r="42" spans="1:15" x14ac:dyDescent="0.25">
      <c r="A42">
        <v>2757.2</v>
      </c>
      <c r="B42">
        <v>1336.5</v>
      </c>
      <c r="C42">
        <v>2182.1999999999998</v>
      </c>
      <c r="D42">
        <v>208.4</v>
      </c>
      <c r="E42">
        <v>101.6</v>
      </c>
      <c r="F42">
        <v>2022</v>
      </c>
      <c r="G42">
        <v>21</v>
      </c>
      <c r="H42" t="s">
        <v>20</v>
      </c>
      <c r="I42" t="s">
        <v>16</v>
      </c>
      <c r="J42">
        <f t="shared" si="14"/>
        <v>8.9</v>
      </c>
      <c r="K42">
        <f t="shared" si="15"/>
        <v>10.55</v>
      </c>
      <c r="L42">
        <f t="shared" si="6"/>
        <v>3698.279</v>
      </c>
      <c r="M42">
        <f t="shared" si="1"/>
        <v>6.35</v>
      </c>
      <c r="N42" s="2">
        <f>N30+2/5</f>
        <v>13.950000000000001</v>
      </c>
      <c r="O42" s="2">
        <f t="shared" si="12"/>
        <v>8.6499999999999986</v>
      </c>
    </row>
    <row r="43" spans="1:15" x14ac:dyDescent="0.25">
      <c r="A43">
        <v>4604.8999999999996</v>
      </c>
      <c r="B43">
        <v>2617.1</v>
      </c>
      <c r="C43">
        <v>3250.7</v>
      </c>
      <c r="D43">
        <v>273.8</v>
      </c>
      <c r="E43">
        <v>90.4</v>
      </c>
      <c r="F43">
        <v>2022</v>
      </c>
      <c r="G43">
        <v>111</v>
      </c>
      <c r="H43" t="s">
        <v>21</v>
      </c>
      <c r="I43" t="s">
        <v>16</v>
      </c>
      <c r="J43">
        <f t="shared" si="14"/>
        <v>9.6999999999999993</v>
      </c>
      <c r="K43">
        <f t="shared" si="15"/>
        <v>12.05</v>
      </c>
      <c r="L43">
        <f t="shared" si="6"/>
        <v>3448.279</v>
      </c>
      <c r="M43">
        <f t="shared" si="1"/>
        <v>5.6499999999999986</v>
      </c>
      <c r="N43" s="2">
        <f t="shared" si="7"/>
        <v>12.450000000000001</v>
      </c>
      <c r="O43" s="2">
        <f t="shared" si="12"/>
        <v>9.4499999999999993</v>
      </c>
    </row>
    <row r="44" spans="1:15" x14ac:dyDescent="0.25">
      <c r="A44">
        <v>4067.6</v>
      </c>
      <c r="B44">
        <v>2511.4</v>
      </c>
      <c r="C44">
        <v>3073.3</v>
      </c>
      <c r="D44">
        <v>322.5</v>
      </c>
      <c r="E44">
        <v>110.2</v>
      </c>
      <c r="F44">
        <v>2022</v>
      </c>
      <c r="G44">
        <v>97</v>
      </c>
      <c r="H44" t="s">
        <v>22</v>
      </c>
      <c r="I44" t="s">
        <v>16</v>
      </c>
      <c r="J44">
        <f t="shared" si="14"/>
        <v>13.1</v>
      </c>
      <c r="K44">
        <f t="shared" si="15"/>
        <v>13.55</v>
      </c>
      <c r="L44">
        <f t="shared" si="6"/>
        <v>3198.279</v>
      </c>
      <c r="M44">
        <f t="shared" si="1"/>
        <v>7.5499999999999989</v>
      </c>
      <c r="N44" s="2">
        <f t="shared" si="7"/>
        <v>10.950000000000001</v>
      </c>
      <c r="O44" s="2">
        <f t="shared" si="12"/>
        <v>6.34</v>
      </c>
    </row>
    <row r="45" spans="1:15" x14ac:dyDescent="0.25">
      <c r="A45">
        <v>322.39999999999998</v>
      </c>
      <c r="B45">
        <v>275.3</v>
      </c>
      <c r="C45">
        <v>254.5</v>
      </c>
      <c r="D45">
        <v>49.8</v>
      </c>
      <c r="E45">
        <v>6.2</v>
      </c>
      <c r="F45">
        <v>2022</v>
      </c>
      <c r="G45">
        <v>36</v>
      </c>
      <c r="H45" t="s">
        <v>23</v>
      </c>
      <c r="I45" t="s">
        <v>16</v>
      </c>
      <c r="J45">
        <f t="shared" si="14"/>
        <v>11.71</v>
      </c>
      <c r="K45">
        <f t="shared" si="15"/>
        <v>15.05</v>
      </c>
      <c r="L45">
        <f t="shared" si="6"/>
        <v>2948.279</v>
      </c>
      <c r="M45">
        <f t="shared" si="1"/>
        <v>4.66</v>
      </c>
      <c r="N45" s="2">
        <f t="shared" si="7"/>
        <v>9.4500000000000011</v>
      </c>
      <c r="O45" s="2">
        <f t="shared" si="12"/>
        <v>7.0000000000000009</v>
      </c>
    </row>
    <row r="46" spans="1:15" x14ac:dyDescent="0.25">
      <c r="A46">
        <v>1101.7</v>
      </c>
      <c r="B46">
        <v>682.6</v>
      </c>
      <c r="C46">
        <v>763.1</v>
      </c>
      <c r="D46">
        <v>47.3</v>
      </c>
      <c r="E46">
        <v>9.4</v>
      </c>
      <c r="F46">
        <v>2022</v>
      </c>
      <c r="G46">
        <v>14</v>
      </c>
      <c r="H46" t="s">
        <v>24</v>
      </c>
      <c r="I46" t="s">
        <v>16</v>
      </c>
      <c r="J46">
        <f t="shared" si="14"/>
        <v>16.3</v>
      </c>
      <c r="K46">
        <f t="shared" si="15"/>
        <v>16.55</v>
      </c>
      <c r="L46">
        <f t="shared" si="6"/>
        <v>2698.279</v>
      </c>
      <c r="M46">
        <f t="shared" si="1"/>
        <v>7.75</v>
      </c>
      <c r="N46" s="2">
        <f t="shared" si="7"/>
        <v>7.9500000000000011</v>
      </c>
      <c r="O46" s="2">
        <f t="shared" si="12"/>
        <v>5.44</v>
      </c>
    </row>
    <row r="47" spans="1:15" x14ac:dyDescent="0.25">
      <c r="A47">
        <v>242.9</v>
      </c>
      <c r="B47">
        <v>127.8</v>
      </c>
      <c r="C47">
        <v>194.4</v>
      </c>
      <c r="D47">
        <v>21</v>
      </c>
      <c r="E47">
        <v>3</v>
      </c>
      <c r="F47">
        <v>2022</v>
      </c>
      <c r="G47">
        <v>6</v>
      </c>
      <c r="H47" t="s">
        <v>25</v>
      </c>
      <c r="I47" t="s">
        <v>16</v>
      </c>
      <c r="J47">
        <f t="shared" si="14"/>
        <v>12.9</v>
      </c>
      <c r="K47">
        <f t="shared" si="15"/>
        <v>18.05</v>
      </c>
      <c r="L47">
        <f t="shared" si="6"/>
        <v>2448.279</v>
      </c>
      <c r="M47">
        <f t="shared" si="1"/>
        <v>2.8499999999999996</v>
      </c>
      <c r="N47" s="2">
        <f t="shared" si="7"/>
        <v>11.450000000000001</v>
      </c>
      <c r="O47" s="2">
        <f t="shared" si="12"/>
        <v>11.45</v>
      </c>
    </row>
    <row r="48" spans="1:15" x14ac:dyDescent="0.25">
      <c r="A48">
        <v>172.7</v>
      </c>
      <c r="B48">
        <v>98</v>
      </c>
      <c r="C48">
        <v>94.6</v>
      </c>
      <c r="D48">
        <v>21.4</v>
      </c>
      <c r="E48">
        <v>1.9</v>
      </c>
      <c r="F48">
        <v>2022</v>
      </c>
      <c r="G48">
        <v>28</v>
      </c>
      <c r="H48" t="s">
        <v>26</v>
      </c>
      <c r="I48" t="s">
        <v>16</v>
      </c>
      <c r="J48">
        <f>2+J37</f>
        <v>14.29</v>
      </c>
      <c r="K48">
        <f t="shared" si="15"/>
        <v>13.55</v>
      </c>
      <c r="L48">
        <f t="shared" si="6"/>
        <v>2198.279</v>
      </c>
      <c r="M48">
        <f t="shared" si="1"/>
        <v>8.7399999999999984</v>
      </c>
      <c r="N48" s="2">
        <f t="shared" si="7"/>
        <v>14.950000000000001</v>
      </c>
      <c r="O48" s="2">
        <f t="shared" si="12"/>
        <v>10.649999999999999</v>
      </c>
    </row>
    <row r="49" spans="1:15" x14ac:dyDescent="0.25">
      <c r="A49">
        <v>482.8</v>
      </c>
      <c r="B49">
        <v>70.5</v>
      </c>
      <c r="C49">
        <v>280.39999999999998</v>
      </c>
      <c r="D49">
        <v>175.2</v>
      </c>
      <c r="E49">
        <v>40.799999999999997</v>
      </c>
      <c r="F49">
        <v>2022</v>
      </c>
      <c r="G49">
        <v>83</v>
      </c>
      <c r="H49" t="s">
        <v>27</v>
      </c>
      <c r="I49" t="s">
        <v>16</v>
      </c>
      <c r="J49">
        <f>2+J38</f>
        <v>12.5</v>
      </c>
      <c r="K49">
        <f t="shared" si="15"/>
        <v>9.93</v>
      </c>
      <c r="L49">
        <f t="shared" si="6"/>
        <v>1948.279</v>
      </c>
      <c r="M49">
        <f t="shared" si="1"/>
        <v>10.57</v>
      </c>
      <c r="N49" s="2">
        <f>N37+2/5</f>
        <v>14.450000000000001</v>
      </c>
      <c r="O49" s="2">
        <f t="shared" si="12"/>
        <v>6.7700000000000005</v>
      </c>
    </row>
    <row r="50" spans="1:15" x14ac:dyDescent="0.25">
      <c r="A50">
        <v>446.2</v>
      </c>
      <c r="B50">
        <v>330.2</v>
      </c>
      <c r="C50">
        <v>235.3</v>
      </c>
      <c r="D50">
        <v>102.3</v>
      </c>
      <c r="E50">
        <v>18.5</v>
      </c>
      <c r="F50">
        <v>2023</v>
      </c>
      <c r="G50">
        <v>11.65823908703087</v>
      </c>
      <c r="H50" t="s">
        <v>15</v>
      </c>
      <c r="I50" t="s">
        <v>16</v>
      </c>
      <c r="J50">
        <v>11</v>
      </c>
      <c r="K50">
        <f>K38+2.41</f>
        <v>11.96</v>
      </c>
      <c r="L50">
        <f t="shared" si="6"/>
        <v>5048.2790000000005</v>
      </c>
      <c r="M50">
        <f t="shared" si="1"/>
        <v>7.0399999999999991</v>
      </c>
      <c r="N50" s="2">
        <f t="shared" si="7"/>
        <v>10.350000000000001</v>
      </c>
      <c r="O50" s="2">
        <f t="shared" si="12"/>
        <v>4.78</v>
      </c>
    </row>
    <row r="51" spans="1:15" x14ac:dyDescent="0.25">
      <c r="A51">
        <v>4564.2</v>
      </c>
      <c r="B51">
        <v>2863</v>
      </c>
      <c r="C51">
        <v>3436.9</v>
      </c>
      <c r="D51">
        <v>414.2</v>
      </c>
      <c r="E51">
        <v>155.69999999999999</v>
      </c>
      <c r="F51">
        <v>2023</v>
      </c>
      <c r="G51">
        <v>11.65823908703087</v>
      </c>
      <c r="H51" t="s">
        <v>17</v>
      </c>
      <c r="I51" t="s">
        <v>16</v>
      </c>
      <c r="J51">
        <f>J2+1</f>
        <v>9.92</v>
      </c>
      <c r="K51">
        <f t="shared" ref="K51:K61" si="16">K39+2.41</f>
        <v>13.46</v>
      </c>
      <c r="L51">
        <f t="shared" si="6"/>
        <v>4798.2790000000005</v>
      </c>
      <c r="M51">
        <f t="shared" si="1"/>
        <v>4.4599999999999991</v>
      </c>
      <c r="N51" s="2">
        <f t="shared" si="7"/>
        <v>13.850000000000001</v>
      </c>
      <c r="O51" s="2">
        <f>O2+2</f>
        <v>9.879999999999999</v>
      </c>
    </row>
    <row r="52" spans="1:15" x14ac:dyDescent="0.25">
      <c r="A52">
        <v>290.89999999999998</v>
      </c>
      <c r="B52">
        <v>26.8</v>
      </c>
      <c r="C52">
        <v>143.80000000000001</v>
      </c>
      <c r="D52">
        <v>-5.3</v>
      </c>
      <c r="E52">
        <v>1.3</v>
      </c>
      <c r="F52">
        <v>2023</v>
      </c>
      <c r="G52">
        <v>11.65823908703087</v>
      </c>
      <c r="H52" t="s">
        <v>18</v>
      </c>
      <c r="I52" t="s">
        <v>16</v>
      </c>
      <c r="J52">
        <f t="shared" ref="J52:J115" si="17">J3+1</f>
        <v>12.5</v>
      </c>
      <c r="K52">
        <f t="shared" si="16"/>
        <v>9.9600000000000009</v>
      </c>
      <c r="L52">
        <f t="shared" si="6"/>
        <v>4548.2790000000005</v>
      </c>
      <c r="M52">
        <f t="shared" si="1"/>
        <v>10.54</v>
      </c>
      <c r="N52" s="2">
        <f t="shared" si="7"/>
        <v>17.349999999999994</v>
      </c>
      <c r="O52" s="2">
        <f t="shared" ref="O52:O115" si="18">O3+2</f>
        <v>10.879999999999999</v>
      </c>
    </row>
    <row r="53" spans="1:15" x14ac:dyDescent="0.25">
      <c r="A53">
        <v>96.3</v>
      </c>
      <c r="B53">
        <v>58.1</v>
      </c>
      <c r="C53">
        <v>35.200000000000003</v>
      </c>
      <c r="D53">
        <v>10.1</v>
      </c>
      <c r="E53">
        <v>-5.5</v>
      </c>
      <c r="F53">
        <v>2023</v>
      </c>
      <c r="G53">
        <v>11.65823908703087</v>
      </c>
      <c r="H53" t="s">
        <v>19</v>
      </c>
      <c r="I53" t="s">
        <v>16</v>
      </c>
      <c r="J53">
        <f t="shared" si="17"/>
        <v>12.7</v>
      </c>
      <c r="K53">
        <f t="shared" si="16"/>
        <v>11.46</v>
      </c>
      <c r="L53">
        <f t="shared" si="6"/>
        <v>4298.2790000000005</v>
      </c>
      <c r="M53">
        <f t="shared" si="1"/>
        <v>9.2399999999999984</v>
      </c>
      <c r="N53" s="2">
        <f t="shared" si="7"/>
        <v>15.850000000000001</v>
      </c>
      <c r="O53" s="2">
        <f t="shared" si="18"/>
        <v>10.48</v>
      </c>
    </row>
    <row r="54" spans="1:15" x14ac:dyDescent="0.25">
      <c r="A54">
        <v>2939.2</v>
      </c>
      <c r="B54">
        <v>1339.7</v>
      </c>
      <c r="C54">
        <v>2371.5</v>
      </c>
      <c r="D54">
        <v>254.9</v>
      </c>
      <c r="E54">
        <v>131.6</v>
      </c>
      <c r="F54">
        <v>2023</v>
      </c>
      <c r="G54">
        <v>11.65823908703087</v>
      </c>
      <c r="H54" t="s">
        <v>20</v>
      </c>
      <c r="I54" t="s">
        <v>16</v>
      </c>
      <c r="J54">
        <f t="shared" si="17"/>
        <v>11.5</v>
      </c>
      <c r="K54">
        <f t="shared" si="16"/>
        <v>12.96</v>
      </c>
      <c r="L54">
        <f t="shared" si="6"/>
        <v>4048.279</v>
      </c>
      <c r="M54">
        <f t="shared" si="1"/>
        <v>6.5399999999999991</v>
      </c>
      <c r="N54" s="2">
        <f t="shared" si="7"/>
        <v>14.350000000000001</v>
      </c>
      <c r="O54" s="2">
        <f t="shared" si="18"/>
        <v>11</v>
      </c>
    </row>
    <row r="55" spans="1:15" x14ac:dyDescent="0.25">
      <c r="A55">
        <v>4114.2</v>
      </c>
      <c r="B55">
        <v>2437.6999999999998</v>
      </c>
      <c r="C55">
        <v>3171.8</v>
      </c>
      <c r="D55">
        <v>359.4</v>
      </c>
      <c r="E55">
        <v>136.4</v>
      </c>
      <c r="F55">
        <v>2023</v>
      </c>
      <c r="G55">
        <v>11.65823908703087</v>
      </c>
      <c r="H55" t="s">
        <v>21</v>
      </c>
      <c r="I55" t="s">
        <v>16</v>
      </c>
      <c r="J55">
        <f t="shared" si="17"/>
        <v>14.5</v>
      </c>
      <c r="K55">
        <f t="shared" si="16"/>
        <v>14.46</v>
      </c>
      <c r="L55">
        <f t="shared" si="6"/>
        <v>3798.279</v>
      </c>
      <c r="M55">
        <f t="shared" si="1"/>
        <v>8.0399999999999991</v>
      </c>
      <c r="N55" s="2">
        <f t="shared" si="7"/>
        <v>12.850000000000001</v>
      </c>
      <c r="O55" s="2">
        <f t="shared" si="18"/>
        <v>11.2</v>
      </c>
    </row>
    <row r="56" spans="1:15" x14ac:dyDescent="0.25">
      <c r="A56">
        <v>4307.2</v>
      </c>
      <c r="B56">
        <v>2660.5</v>
      </c>
      <c r="C56">
        <v>3534.9</v>
      </c>
      <c r="D56">
        <v>375.7</v>
      </c>
      <c r="E56">
        <v>140.19999999999999</v>
      </c>
      <c r="F56">
        <v>2023</v>
      </c>
      <c r="G56">
        <v>11.65823908703087</v>
      </c>
      <c r="H56" t="s">
        <v>22</v>
      </c>
      <c r="I56" t="s">
        <v>16</v>
      </c>
      <c r="J56">
        <f t="shared" si="17"/>
        <v>9.5</v>
      </c>
      <c r="K56">
        <f t="shared" si="16"/>
        <v>15.96</v>
      </c>
      <c r="L56">
        <f t="shared" si="6"/>
        <v>3548.279</v>
      </c>
      <c r="M56">
        <f t="shared" si="1"/>
        <v>1.5399999999999991</v>
      </c>
      <c r="N56" s="2">
        <f t="shared" si="7"/>
        <v>11.350000000000001</v>
      </c>
      <c r="O56" s="2">
        <f t="shared" si="18"/>
        <v>12</v>
      </c>
    </row>
    <row r="57" spans="1:15" x14ac:dyDescent="0.25">
      <c r="A57">
        <v>394.8</v>
      </c>
      <c r="B57">
        <v>325.10000000000002</v>
      </c>
      <c r="C57">
        <v>269.2</v>
      </c>
      <c r="D57">
        <v>67.099999999999994</v>
      </c>
      <c r="E57">
        <v>7.8</v>
      </c>
      <c r="F57">
        <v>2023</v>
      </c>
      <c r="G57">
        <v>11.65823908703087</v>
      </c>
      <c r="H57" t="s">
        <v>23</v>
      </c>
      <c r="I57" t="s">
        <v>16</v>
      </c>
      <c r="J57">
        <f t="shared" si="17"/>
        <v>11.11</v>
      </c>
      <c r="K57">
        <f t="shared" si="16"/>
        <v>17.46</v>
      </c>
      <c r="L57">
        <f t="shared" si="6"/>
        <v>3298.279</v>
      </c>
      <c r="M57">
        <f t="shared" si="1"/>
        <v>1.6499999999999986</v>
      </c>
      <c r="N57" s="2">
        <f t="shared" si="7"/>
        <v>9.8500000000000014</v>
      </c>
      <c r="O57" s="2">
        <f t="shared" si="18"/>
        <v>8.89</v>
      </c>
    </row>
    <row r="58" spans="1:15" x14ac:dyDescent="0.25">
      <c r="A58">
        <v>1294.3</v>
      </c>
      <c r="B58">
        <v>729.2</v>
      </c>
      <c r="C58">
        <v>774.6</v>
      </c>
      <c r="D58">
        <v>61.6</v>
      </c>
      <c r="E58">
        <v>15.9</v>
      </c>
      <c r="F58">
        <v>2023</v>
      </c>
      <c r="G58">
        <v>11.65823908703087</v>
      </c>
      <c r="H58" t="s">
        <v>24</v>
      </c>
      <c r="I58" t="s">
        <v>16</v>
      </c>
      <c r="J58">
        <f t="shared" si="17"/>
        <v>13.2</v>
      </c>
      <c r="K58">
        <f t="shared" si="16"/>
        <v>18.96</v>
      </c>
      <c r="L58">
        <f t="shared" si="6"/>
        <v>3048.279</v>
      </c>
      <c r="M58">
        <f t="shared" si="1"/>
        <v>2.2399999999999984</v>
      </c>
      <c r="N58" s="2">
        <f t="shared" si="7"/>
        <v>8.3500000000000014</v>
      </c>
      <c r="O58" s="2">
        <f t="shared" si="18"/>
        <v>9.5500000000000007</v>
      </c>
    </row>
    <row r="59" spans="1:15" x14ac:dyDescent="0.25">
      <c r="A59">
        <v>242.4</v>
      </c>
      <c r="B59">
        <v>128.80000000000001</v>
      </c>
      <c r="C59">
        <v>188</v>
      </c>
      <c r="D59">
        <v>24.1</v>
      </c>
      <c r="E59">
        <v>7.6</v>
      </c>
      <c r="F59">
        <v>2023</v>
      </c>
      <c r="G59">
        <v>11.65823908703087</v>
      </c>
      <c r="H59" t="s">
        <v>25</v>
      </c>
      <c r="I59" t="s">
        <v>16</v>
      </c>
      <c r="J59">
        <f t="shared" si="17"/>
        <v>16.100000000000001</v>
      </c>
      <c r="K59">
        <f t="shared" si="16"/>
        <v>20.46</v>
      </c>
      <c r="L59">
        <f t="shared" si="6"/>
        <v>2798.279</v>
      </c>
      <c r="M59">
        <f t="shared" si="1"/>
        <v>3.6400000000000006</v>
      </c>
      <c r="N59" s="2">
        <f>N47+2/5</f>
        <v>11.850000000000001</v>
      </c>
      <c r="O59" s="2">
        <f t="shared" si="18"/>
        <v>7.99</v>
      </c>
    </row>
    <row r="60" spans="1:15" x14ac:dyDescent="0.25">
      <c r="A60">
        <v>227</v>
      </c>
      <c r="B60">
        <v>125.2</v>
      </c>
      <c r="C60">
        <v>125.1</v>
      </c>
      <c r="D60">
        <v>26.5</v>
      </c>
      <c r="E60">
        <v>3.1</v>
      </c>
      <c r="F60">
        <v>2023</v>
      </c>
      <c r="G60">
        <v>11.65823908703087</v>
      </c>
      <c r="H60" t="s">
        <v>26</v>
      </c>
      <c r="I60" t="s">
        <v>16</v>
      </c>
      <c r="J60">
        <f t="shared" si="17"/>
        <v>15.3</v>
      </c>
      <c r="K60">
        <f t="shared" si="16"/>
        <v>15.96</v>
      </c>
      <c r="L60">
        <f t="shared" si="6"/>
        <v>2548.279</v>
      </c>
      <c r="M60">
        <f t="shared" si="1"/>
        <v>7.34</v>
      </c>
      <c r="N60" s="2">
        <f t="shared" si="7"/>
        <v>15.350000000000001</v>
      </c>
      <c r="O60" s="2">
        <f t="shared" si="18"/>
        <v>14</v>
      </c>
    </row>
    <row r="61" spans="1:15" x14ac:dyDescent="0.25">
      <c r="A61">
        <v>660.8</v>
      </c>
      <c r="B61">
        <v>115.1</v>
      </c>
      <c r="C61">
        <v>373.2</v>
      </c>
      <c r="D61">
        <v>247.7</v>
      </c>
      <c r="E61">
        <v>71.2</v>
      </c>
      <c r="F61">
        <v>2023</v>
      </c>
      <c r="G61">
        <v>11.65823908703087</v>
      </c>
      <c r="H61" t="s">
        <v>27</v>
      </c>
      <c r="I61" t="s">
        <v>16</v>
      </c>
      <c r="J61">
        <f t="shared" si="17"/>
        <v>11.9</v>
      </c>
      <c r="K61">
        <f t="shared" si="16"/>
        <v>12.34</v>
      </c>
      <c r="L61">
        <f t="shared" si="6"/>
        <v>2298.279</v>
      </c>
      <c r="M61">
        <f t="shared" si="1"/>
        <v>7.5600000000000005</v>
      </c>
      <c r="N61" s="2">
        <f t="shared" si="7"/>
        <v>14.850000000000001</v>
      </c>
      <c r="O61" s="2">
        <f t="shared" si="18"/>
        <v>13.2</v>
      </c>
    </row>
    <row r="62" spans="1:15" x14ac:dyDescent="0.25">
      <c r="A62">
        <v>435.1</v>
      </c>
      <c r="B62">
        <v>404.2</v>
      </c>
      <c r="C62">
        <v>24.4</v>
      </c>
      <c r="D62">
        <v>29.9</v>
      </c>
      <c r="E62">
        <v>1.6</v>
      </c>
      <c r="F62">
        <v>2019</v>
      </c>
      <c r="G62">
        <v>30</v>
      </c>
      <c r="H62" t="s">
        <v>28</v>
      </c>
      <c r="I62" t="s">
        <v>29</v>
      </c>
      <c r="J62">
        <f t="shared" si="17"/>
        <v>12.8</v>
      </c>
      <c r="K62">
        <f>K15-1</f>
        <v>9.9400000000000013</v>
      </c>
      <c r="L62">
        <f>L2-1000*1.5</f>
        <v>2148.279</v>
      </c>
      <c r="M62">
        <f t="shared" si="1"/>
        <v>10.86</v>
      </c>
      <c r="N62" s="2">
        <f>N2-1.5</f>
        <v>7.25</v>
      </c>
      <c r="O62" s="2">
        <f t="shared" si="18"/>
        <v>9.32</v>
      </c>
    </row>
    <row r="63" spans="1:15" x14ac:dyDescent="0.25">
      <c r="A63">
        <v>118.2</v>
      </c>
      <c r="B63">
        <v>116.8</v>
      </c>
      <c r="C63">
        <v>156.5</v>
      </c>
      <c r="D63">
        <v>199.9</v>
      </c>
      <c r="E63">
        <v>217.8</v>
      </c>
      <c r="F63">
        <v>2019</v>
      </c>
      <c r="G63">
        <v>221</v>
      </c>
      <c r="H63" t="s">
        <v>30</v>
      </c>
      <c r="I63" t="s">
        <v>29</v>
      </c>
      <c r="J63">
        <f t="shared" si="17"/>
        <v>9.5</v>
      </c>
      <c r="K63">
        <f t="shared" ref="K63:K126" si="19">K16-1</f>
        <v>6.4400000000000013</v>
      </c>
      <c r="L63">
        <f t="shared" ref="L63:L126" si="20">L3-1000*1.5</f>
        <v>1898.279</v>
      </c>
      <c r="M63">
        <f t="shared" si="1"/>
        <v>11.059999999999999</v>
      </c>
      <c r="N63" s="2">
        <f t="shared" ref="N63:N126" si="21">N3-1.5</f>
        <v>10.75</v>
      </c>
      <c r="O63" s="2">
        <f t="shared" si="18"/>
        <v>10.879999999999999</v>
      </c>
    </row>
    <row r="64" spans="1:15" x14ac:dyDescent="0.25">
      <c r="A64">
        <v>132.9</v>
      </c>
      <c r="B64">
        <v>36.299999999999997</v>
      </c>
      <c r="C64">
        <v>110.5</v>
      </c>
      <c r="D64">
        <v>30.7</v>
      </c>
      <c r="E64">
        <v>6.4</v>
      </c>
      <c r="F64">
        <v>2019</v>
      </c>
      <c r="G64">
        <v>44</v>
      </c>
      <c r="H64" t="s">
        <v>31</v>
      </c>
      <c r="I64" t="s">
        <v>29</v>
      </c>
      <c r="J64">
        <f t="shared" si="17"/>
        <v>17.920000000000002</v>
      </c>
      <c r="K64">
        <f t="shared" si="19"/>
        <v>7.9400000000000013</v>
      </c>
      <c r="L64">
        <f t="shared" si="20"/>
        <v>1648.279</v>
      </c>
      <c r="M64">
        <f t="shared" si="1"/>
        <v>17.98</v>
      </c>
      <c r="N64" s="2">
        <f t="shared" si="21"/>
        <v>14.25</v>
      </c>
      <c r="O64" s="2">
        <f t="shared" si="18"/>
        <v>11.879999999999999</v>
      </c>
    </row>
    <row r="65" spans="1:15" x14ac:dyDescent="0.25">
      <c r="A65">
        <v>123.2</v>
      </c>
      <c r="B65">
        <v>91.3</v>
      </c>
      <c r="C65">
        <v>65.2</v>
      </c>
      <c r="D65">
        <v>20.7</v>
      </c>
      <c r="E65">
        <v>2.9</v>
      </c>
      <c r="F65">
        <v>2019</v>
      </c>
      <c r="G65">
        <v>106</v>
      </c>
      <c r="H65" t="s">
        <v>32</v>
      </c>
      <c r="I65" t="s">
        <v>29</v>
      </c>
      <c r="J65">
        <f t="shared" si="17"/>
        <v>15.5</v>
      </c>
      <c r="K65">
        <f t="shared" si="19"/>
        <v>9.4400000000000013</v>
      </c>
      <c r="L65">
        <f t="shared" si="20"/>
        <v>1398.279</v>
      </c>
      <c r="M65">
        <f t="shared" si="1"/>
        <v>14.059999999999999</v>
      </c>
      <c r="N65" s="2">
        <f t="shared" si="21"/>
        <v>12.75</v>
      </c>
      <c r="O65" s="2">
        <f t="shared" si="18"/>
        <v>11.48</v>
      </c>
    </row>
    <row r="66" spans="1:15" x14ac:dyDescent="0.25">
      <c r="A66">
        <v>59.2</v>
      </c>
      <c r="B66">
        <v>43</v>
      </c>
      <c r="C66">
        <v>49.7</v>
      </c>
      <c r="D66">
        <v>14.1</v>
      </c>
      <c r="E66">
        <v>0.2</v>
      </c>
      <c r="F66">
        <v>2019</v>
      </c>
      <c r="G66">
        <v>13</v>
      </c>
      <c r="H66" t="s">
        <v>33</v>
      </c>
      <c r="I66" t="s">
        <v>29</v>
      </c>
      <c r="J66">
        <f t="shared" si="17"/>
        <v>20.7</v>
      </c>
      <c r="K66">
        <f t="shared" si="19"/>
        <v>10.940000000000001</v>
      </c>
      <c r="L66">
        <f t="shared" si="20"/>
        <v>1148.279</v>
      </c>
      <c r="M66">
        <f t="shared" si="1"/>
        <v>17.759999999999998</v>
      </c>
      <c r="N66" s="2">
        <f t="shared" si="21"/>
        <v>11.25</v>
      </c>
      <c r="O66" s="2">
        <f t="shared" si="18"/>
        <v>12</v>
      </c>
    </row>
    <row r="67" spans="1:15" x14ac:dyDescent="0.25">
      <c r="A67">
        <v>87.6</v>
      </c>
      <c r="B67">
        <v>67.2</v>
      </c>
      <c r="C67">
        <v>61.3</v>
      </c>
      <c r="D67">
        <v>54.5</v>
      </c>
      <c r="E67">
        <v>49.1</v>
      </c>
      <c r="F67">
        <v>2019</v>
      </c>
      <c r="G67">
        <v>27</v>
      </c>
      <c r="H67" t="s">
        <v>34</v>
      </c>
      <c r="I67" t="s">
        <v>29</v>
      </c>
      <c r="J67">
        <f t="shared" si="17"/>
        <v>13.5</v>
      </c>
      <c r="K67">
        <f t="shared" si="19"/>
        <v>12.440000000000001</v>
      </c>
      <c r="L67">
        <f t="shared" si="20"/>
        <v>898.279</v>
      </c>
      <c r="M67">
        <f t="shared" si="1"/>
        <v>9.0599999999999987</v>
      </c>
      <c r="N67" s="2">
        <f t="shared" si="21"/>
        <v>9.75</v>
      </c>
      <c r="O67" s="2">
        <f t="shared" si="18"/>
        <v>12.2</v>
      </c>
    </row>
    <row r="68" spans="1:15" x14ac:dyDescent="0.25">
      <c r="A68">
        <v>55</v>
      </c>
      <c r="B68">
        <v>47.8</v>
      </c>
      <c r="C68">
        <v>46.3</v>
      </c>
      <c r="D68">
        <v>40.200000000000003</v>
      </c>
      <c r="E68">
        <v>31.8</v>
      </c>
      <c r="F68">
        <v>2019</v>
      </c>
      <c r="G68">
        <v>56</v>
      </c>
      <c r="H68" t="s">
        <v>35</v>
      </c>
      <c r="I68" t="s">
        <v>29</v>
      </c>
      <c r="J68">
        <f t="shared" si="17"/>
        <v>12.5</v>
      </c>
      <c r="K68">
        <f t="shared" si="19"/>
        <v>13.940000000000001</v>
      </c>
      <c r="L68">
        <f t="shared" si="20"/>
        <v>648.279</v>
      </c>
      <c r="M68">
        <f t="shared" ref="M68:M127" si="22">J68-K68+8</f>
        <v>6.5599999999999987</v>
      </c>
      <c r="N68" s="2">
        <f t="shared" si="21"/>
        <v>8.25</v>
      </c>
      <c r="O68" s="2">
        <f t="shared" si="18"/>
        <v>13</v>
      </c>
    </row>
    <row r="69" spans="1:15" x14ac:dyDescent="0.25">
      <c r="A69">
        <v>61.8</v>
      </c>
      <c r="B69">
        <v>36.299999999999997</v>
      </c>
      <c r="C69">
        <v>33.299999999999997</v>
      </c>
      <c r="D69">
        <v>10.6</v>
      </c>
      <c r="E69">
        <v>4.4000000000000004</v>
      </c>
      <c r="F69">
        <v>2019</v>
      </c>
      <c r="G69">
        <v>10</v>
      </c>
      <c r="H69" t="s">
        <v>36</v>
      </c>
      <c r="I69" t="s">
        <v>29</v>
      </c>
      <c r="J69">
        <f t="shared" si="17"/>
        <v>7.5</v>
      </c>
      <c r="K69">
        <f t="shared" si="19"/>
        <v>15.440000000000001</v>
      </c>
      <c r="L69">
        <f t="shared" si="20"/>
        <v>398.279</v>
      </c>
      <c r="M69">
        <f t="shared" si="22"/>
        <v>5.9999999999998721E-2</v>
      </c>
      <c r="N69" s="2">
        <f t="shared" si="21"/>
        <v>6.75</v>
      </c>
      <c r="O69" s="2">
        <f t="shared" si="18"/>
        <v>9.89</v>
      </c>
    </row>
    <row r="70" spans="1:15" x14ac:dyDescent="0.25">
      <c r="A70">
        <v>14.9</v>
      </c>
      <c r="B70">
        <v>12.6</v>
      </c>
      <c r="C70">
        <v>11.9</v>
      </c>
      <c r="D70">
        <v>2.5</v>
      </c>
      <c r="E70">
        <v>-0.6</v>
      </c>
      <c r="F70">
        <v>2019</v>
      </c>
      <c r="G70">
        <v>28</v>
      </c>
      <c r="H70" t="s">
        <v>37</v>
      </c>
      <c r="I70" t="s">
        <v>29</v>
      </c>
      <c r="J70">
        <f t="shared" si="17"/>
        <v>9.11</v>
      </c>
      <c r="K70">
        <f t="shared" si="19"/>
        <v>16.940000000000001</v>
      </c>
      <c r="L70">
        <f t="shared" si="20"/>
        <v>148.279</v>
      </c>
      <c r="M70">
        <f t="shared" si="22"/>
        <v>0.16999999999999815</v>
      </c>
      <c r="N70" s="2">
        <f t="shared" si="21"/>
        <v>5.25</v>
      </c>
      <c r="O70" s="2">
        <f t="shared" si="18"/>
        <v>10.55</v>
      </c>
    </row>
    <row r="71" spans="1:15" x14ac:dyDescent="0.25">
      <c r="A71">
        <v>7</v>
      </c>
      <c r="B71">
        <v>1.8</v>
      </c>
      <c r="C71">
        <v>5.7</v>
      </c>
      <c r="D71">
        <v>1.9</v>
      </c>
      <c r="E71">
        <v>0</v>
      </c>
      <c r="F71">
        <v>2019</v>
      </c>
      <c r="G71">
        <v>42</v>
      </c>
      <c r="H71" t="s">
        <v>38</v>
      </c>
      <c r="I71" t="s">
        <v>29</v>
      </c>
      <c r="J71">
        <f t="shared" si="17"/>
        <v>11.2</v>
      </c>
      <c r="K71">
        <f t="shared" si="19"/>
        <v>12.440000000000001</v>
      </c>
      <c r="L71">
        <f t="shared" si="20"/>
        <v>-101.721</v>
      </c>
      <c r="M71">
        <f t="shared" si="22"/>
        <v>6.759999999999998</v>
      </c>
      <c r="N71" s="2">
        <f t="shared" si="21"/>
        <v>8.75</v>
      </c>
      <c r="O71" s="2">
        <f t="shared" si="18"/>
        <v>8.99</v>
      </c>
    </row>
    <row r="72" spans="1:15" x14ac:dyDescent="0.25">
      <c r="A72">
        <v>10.7</v>
      </c>
      <c r="B72">
        <v>2.9</v>
      </c>
      <c r="C72">
        <v>3.4</v>
      </c>
      <c r="D72">
        <v>1.1000000000000001</v>
      </c>
      <c r="E72">
        <v>-0.4</v>
      </c>
      <c r="F72">
        <v>2019</v>
      </c>
      <c r="G72">
        <v>32</v>
      </c>
      <c r="H72" t="s">
        <v>39</v>
      </c>
      <c r="I72" t="s">
        <v>29</v>
      </c>
      <c r="J72">
        <f t="shared" si="17"/>
        <v>14.1</v>
      </c>
      <c r="K72">
        <f t="shared" si="19"/>
        <v>8.82</v>
      </c>
      <c r="L72">
        <f t="shared" si="20"/>
        <v>-351.721</v>
      </c>
      <c r="M72">
        <f t="shared" si="22"/>
        <v>13.28</v>
      </c>
      <c r="N72" s="2">
        <f t="shared" si="21"/>
        <v>12.25</v>
      </c>
      <c r="O72" s="2">
        <f t="shared" si="18"/>
        <v>15</v>
      </c>
    </row>
    <row r="73" spans="1:15" x14ac:dyDescent="0.25">
      <c r="A73">
        <v>1.2</v>
      </c>
      <c r="B73">
        <v>0</v>
      </c>
      <c r="C73">
        <v>0.6</v>
      </c>
      <c r="D73">
        <v>0.2</v>
      </c>
      <c r="E73">
        <v>0</v>
      </c>
      <c r="F73">
        <v>2019</v>
      </c>
      <c r="G73">
        <v>4</v>
      </c>
      <c r="H73" t="s">
        <v>40</v>
      </c>
      <c r="I73" t="s">
        <v>29</v>
      </c>
      <c r="J73">
        <f t="shared" si="17"/>
        <v>13.3</v>
      </c>
      <c r="K73">
        <f t="shared" si="19"/>
        <v>9.4400000000000013</v>
      </c>
      <c r="L73">
        <f t="shared" si="20"/>
        <v>-601.721</v>
      </c>
      <c r="M73">
        <f t="shared" si="22"/>
        <v>11.86</v>
      </c>
      <c r="N73" s="2">
        <f t="shared" si="21"/>
        <v>11.75</v>
      </c>
      <c r="O73" s="2">
        <f t="shared" si="18"/>
        <v>14.2</v>
      </c>
    </row>
    <row r="74" spans="1:15" x14ac:dyDescent="0.25">
      <c r="A74">
        <v>437.7</v>
      </c>
      <c r="B74">
        <v>406.5</v>
      </c>
      <c r="C74">
        <v>23.5</v>
      </c>
      <c r="D74">
        <v>28.5</v>
      </c>
      <c r="E74">
        <v>0.2</v>
      </c>
      <c r="F74">
        <v>2020</v>
      </c>
      <c r="G74">
        <v>30</v>
      </c>
      <c r="H74" t="s">
        <v>28</v>
      </c>
      <c r="I74" t="s">
        <v>29</v>
      </c>
      <c r="J74">
        <f>J25+1</f>
        <v>9.9</v>
      </c>
      <c r="K74">
        <f t="shared" si="19"/>
        <v>10.940000000000001</v>
      </c>
      <c r="L74">
        <f t="shared" si="20"/>
        <v>2498.279</v>
      </c>
      <c r="M74">
        <f t="shared" si="22"/>
        <v>6.9599999999999991</v>
      </c>
      <c r="N74" s="2">
        <f t="shared" si="21"/>
        <v>7.65</v>
      </c>
      <c r="O74" s="2">
        <f t="shared" si="18"/>
        <v>10.32</v>
      </c>
    </row>
    <row r="75" spans="1:15" x14ac:dyDescent="0.25">
      <c r="A75">
        <v>29.6</v>
      </c>
      <c r="B75">
        <v>28.8</v>
      </c>
      <c r="C75">
        <v>27.1</v>
      </c>
      <c r="D75">
        <v>51.2</v>
      </c>
      <c r="E75">
        <v>66.400000000000006</v>
      </c>
      <c r="F75">
        <v>2020</v>
      </c>
      <c r="G75">
        <v>213</v>
      </c>
      <c r="H75" t="s">
        <v>30</v>
      </c>
      <c r="I75" t="s">
        <v>29</v>
      </c>
      <c r="J75">
        <f t="shared" si="17"/>
        <v>11.29</v>
      </c>
      <c r="K75">
        <f t="shared" si="19"/>
        <v>7.4400000000000013</v>
      </c>
      <c r="L75">
        <f t="shared" si="20"/>
        <v>2248.279</v>
      </c>
      <c r="M75">
        <f t="shared" si="22"/>
        <v>11.849999999999998</v>
      </c>
      <c r="N75" s="2">
        <f t="shared" si="21"/>
        <v>11.15</v>
      </c>
      <c r="O75" s="2">
        <f t="shared" si="18"/>
        <v>8.33</v>
      </c>
    </row>
    <row r="76" spans="1:15" x14ac:dyDescent="0.25">
      <c r="A76">
        <v>108.3</v>
      </c>
      <c r="B76">
        <v>27.3</v>
      </c>
      <c r="C76">
        <v>104.6</v>
      </c>
      <c r="D76">
        <v>22.6</v>
      </c>
      <c r="E76">
        <v>-8.6</v>
      </c>
      <c r="F76">
        <v>2020</v>
      </c>
      <c r="G76">
        <v>44</v>
      </c>
      <c r="H76" t="s">
        <v>31</v>
      </c>
      <c r="I76" t="s">
        <v>29</v>
      </c>
      <c r="J76">
        <f t="shared" si="17"/>
        <v>9.5</v>
      </c>
      <c r="K76">
        <f t="shared" si="19"/>
        <v>8.9400000000000013</v>
      </c>
      <c r="L76">
        <f t="shared" si="20"/>
        <v>1998.279</v>
      </c>
      <c r="M76">
        <f t="shared" si="22"/>
        <v>8.5599999999999987</v>
      </c>
      <c r="N76" s="2">
        <f t="shared" si="21"/>
        <v>14.649999999999999</v>
      </c>
      <c r="O76" s="2">
        <f t="shared" si="18"/>
        <v>9.3299999999999983</v>
      </c>
    </row>
    <row r="77" spans="1:15" x14ac:dyDescent="0.25">
      <c r="A77">
        <v>119.8</v>
      </c>
      <c r="B77">
        <v>86.4</v>
      </c>
      <c r="C77">
        <v>64</v>
      </c>
      <c r="D77">
        <v>20.5</v>
      </c>
      <c r="E77">
        <v>2.5</v>
      </c>
      <c r="F77">
        <v>2020</v>
      </c>
      <c r="G77">
        <v>107</v>
      </c>
      <c r="H77" t="s">
        <v>32</v>
      </c>
      <c r="I77" t="s">
        <v>29</v>
      </c>
      <c r="J77">
        <f t="shared" si="17"/>
        <v>14.5</v>
      </c>
      <c r="K77">
        <f t="shared" si="19"/>
        <v>10.440000000000001</v>
      </c>
      <c r="L77">
        <f t="shared" si="20"/>
        <v>1748.279</v>
      </c>
      <c r="M77">
        <f t="shared" si="22"/>
        <v>12.059999999999999</v>
      </c>
      <c r="N77" s="2">
        <f t="shared" si="21"/>
        <v>13.15</v>
      </c>
      <c r="O77" s="2">
        <f t="shared" si="18"/>
        <v>8.93</v>
      </c>
    </row>
    <row r="78" spans="1:15" x14ac:dyDescent="0.25">
      <c r="A78">
        <v>62.5</v>
      </c>
      <c r="B78">
        <v>49.4</v>
      </c>
      <c r="C78">
        <v>44.3</v>
      </c>
      <c r="D78">
        <v>13.9</v>
      </c>
      <c r="E78">
        <v>-1.8</v>
      </c>
      <c r="F78">
        <v>2020</v>
      </c>
      <c r="G78">
        <v>13</v>
      </c>
      <c r="H78" t="s">
        <v>33</v>
      </c>
      <c r="I78" t="s">
        <v>29</v>
      </c>
      <c r="J78">
        <f t="shared" si="17"/>
        <v>12.89</v>
      </c>
      <c r="K78">
        <f t="shared" si="19"/>
        <v>11.940000000000001</v>
      </c>
      <c r="L78">
        <f t="shared" si="20"/>
        <v>1498.279</v>
      </c>
      <c r="M78">
        <f t="shared" si="22"/>
        <v>8.9499999999999993</v>
      </c>
      <c r="N78" s="2">
        <f t="shared" si="21"/>
        <v>11.65</v>
      </c>
      <c r="O78" s="2">
        <f t="shared" si="18"/>
        <v>9.4499999999999993</v>
      </c>
    </row>
    <row r="79" spans="1:15" x14ac:dyDescent="0.25">
      <c r="A79">
        <v>64.3</v>
      </c>
      <c r="B79">
        <v>43.8</v>
      </c>
      <c r="C79">
        <v>39.4</v>
      </c>
      <c r="D79">
        <v>32.200000000000003</v>
      </c>
      <c r="E79">
        <v>28.1</v>
      </c>
      <c r="F79">
        <v>2020</v>
      </c>
      <c r="G79">
        <v>27</v>
      </c>
      <c r="H79" t="s">
        <v>34</v>
      </c>
      <c r="I79" t="s">
        <v>29</v>
      </c>
      <c r="J79">
        <f t="shared" si="17"/>
        <v>10.8</v>
      </c>
      <c r="K79">
        <f t="shared" si="19"/>
        <v>13.440000000000001</v>
      </c>
      <c r="L79">
        <f t="shared" si="20"/>
        <v>1248.279</v>
      </c>
      <c r="M79">
        <f t="shared" si="22"/>
        <v>5.3599999999999994</v>
      </c>
      <c r="N79" s="2">
        <f t="shared" si="21"/>
        <v>10.15</v>
      </c>
      <c r="O79" s="2">
        <f t="shared" si="18"/>
        <v>9.6499999999999986</v>
      </c>
    </row>
    <row r="80" spans="1:15" x14ac:dyDescent="0.25">
      <c r="A80">
        <v>45.6</v>
      </c>
      <c r="B80">
        <v>31.5</v>
      </c>
      <c r="C80">
        <v>30.5</v>
      </c>
      <c r="D80">
        <v>31.3</v>
      </c>
      <c r="E80">
        <v>31.1</v>
      </c>
      <c r="F80">
        <v>2020</v>
      </c>
      <c r="G80">
        <v>57</v>
      </c>
      <c r="H80" t="s">
        <v>35</v>
      </c>
      <c r="I80" t="s">
        <v>29</v>
      </c>
      <c r="J80">
        <f t="shared" si="17"/>
        <v>7.9</v>
      </c>
      <c r="K80">
        <f t="shared" si="19"/>
        <v>14.940000000000001</v>
      </c>
      <c r="L80">
        <f t="shared" si="20"/>
        <v>998.279</v>
      </c>
      <c r="M80">
        <f t="shared" si="22"/>
        <v>0.95999999999999908</v>
      </c>
      <c r="N80" s="2">
        <f t="shared" si="21"/>
        <v>8.65</v>
      </c>
      <c r="O80" s="2">
        <f t="shared" si="18"/>
        <v>10.45</v>
      </c>
    </row>
    <row r="81" spans="1:15" x14ac:dyDescent="0.25">
      <c r="A81">
        <v>59.4</v>
      </c>
      <c r="B81">
        <v>31.2</v>
      </c>
      <c r="C81">
        <v>28.5</v>
      </c>
      <c r="D81">
        <v>10.6</v>
      </c>
      <c r="E81">
        <v>3</v>
      </c>
      <c r="F81">
        <v>2020</v>
      </c>
      <c r="G81">
        <v>11</v>
      </c>
      <c r="H81" t="s">
        <v>36</v>
      </c>
      <c r="I81" t="s">
        <v>29</v>
      </c>
      <c r="J81">
        <f t="shared" si="17"/>
        <v>8.6999999999999993</v>
      </c>
      <c r="K81">
        <f t="shared" si="19"/>
        <v>16.440000000000001</v>
      </c>
      <c r="L81">
        <f t="shared" si="20"/>
        <v>748.279</v>
      </c>
      <c r="M81">
        <f t="shared" si="22"/>
        <v>0.25999999999999801</v>
      </c>
      <c r="N81" s="2">
        <f t="shared" si="21"/>
        <v>7.15</v>
      </c>
      <c r="O81" s="2">
        <f t="shared" si="18"/>
        <v>7.34</v>
      </c>
    </row>
    <row r="82" spans="1:15" x14ac:dyDescent="0.25">
      <c r="A82">
        <v>16.600000000000001</v>
      </c>
      <c r="B82">
        <v>13.9</v>
      </c>
      <c r="C82">
        <v>13.6</v>
      </c>
      <c r="D82">
        <v>2.4</v>
      </c>
      <c r="E82">
        <v>-0.6</v>
      </c>
      <c r="F82">
        <v>2020</v>
      </c>
      <c r="G82">
        <v>28</v>
      </c>
      <c r="H82" t="s">
        <v>37</v>
      </c>
      <c r="I82" t="s">
        <v>29</v>
      </c>
      <c r="J82">
        <f t="shared" si="17"/>
        <v>12.1</v>
      </c>
      <c r="K82">
        <f t="shared" si="19"/>
        <v>17.940000000000001</v>
      </c>
      <c r="L82">
        <f t="shared" si="20"/>
        <v>498.279</v>
      </c>
      <c r="M82">
        <f t="shared" si="22"/>
        <v>2.1599999999999984</v>
      </c>
      <c r="N82" s="2">
        <f t="shared" si="21"/>
        <v>5.65</v>
      </c>
      <c r="O82" s="2">
        <f t="shared" si="18"/>
        <v>8</v>
      </c>
    </row>
    <row r="83" spans="1:15" x14ac:dyDescent="0.25">
      <c r="A83">
        <v>7.9</v>
      </c>
      <c r="B83">
        <v>2.6</v>
      </c>
      <c r="C83">
        <v>6.8</v>
      </c>
      <c r="D83">
        <v>2.1</v>
      </c>
      <c r="E83">
        <v>-0.4</v>
      </c>
      <c r="F83">
        <v>2020</v>
      </c>
      <c r="G83">
        <v>40</v>
      </c>
      <c r="H83" t="s">
        <v>38</v>
      </c>
      <c r="I83" t="s">
        <v>29</v>
      </c>
      <c r="J83">
        <f t="shared" si="17"/>
        <v>10.71</v>
      </c>
      <c r="K83">
        <f t="shared" si="19"/>
        <v>13.440000000000001</v>
      </c>
      <c r="L83">
        <f t="shared" si="20"/>
        <v>248.279</v>
      </c>
      <c r="M83">
        <f t="shared" si="22"/>
        <v>5.27</v>
      </c>
      <c r="N83" s="2">
        <f t="shared" si="21"/>
        <v>9.15</v>
      </c>
      <c r="O83" s="2">
        <f t="shared" si="18"/>
        <v>6.44</v>
      </c>
    </row>
    <row r="84" spans="1:15" x14ac:dyDescent="0.25">
      <c r="A84">
        <v>12.5</v>
      </c>
      <c r="B84">
        <v>3.1</v>
      </c>
      <c r="C84">
        <v>3.1</v>
      </c>
      <c r="D84">
        <v>1</v>
      </c>
      <c r="E84">
        <v>-0.4</v>
      </c>
      <c r="F84">
        <v>2020</v>
      </c>
      <c r="G84">
        <v>29</v>
      </c>
      <c r="H84" t="s">
        <v>39</v>
      </c>
      <c r="I84" t="s">
        <v>29</v>
      </c>
      <c r="J84">
        <f t="shared" si="17"/>
        <v>15.3</v>
      </c>
      <c r="K84">
        <f t="shared" si="19"/>
        <v>9.82</v>
      </c>
      <c r="L84">
        <f t="shared" si="20"/>
        <v>-1.7210000000000036</v>
      </c>
      <c r="M84">
        <f t="shared" si="22"/>
        <v>13.48</v>
      </c>
      <c r="N84" s="2">
        <f t="shared" si="21"/>
        <v>12.65</v>
      </c>
      <c r="O84" s="2">
        <f t="shared" si="18"/>
        <v>12.45</v>
      </c>
    </row>
    <row r="85" spans="1:15" x14ac:dyDescent="0.25">
      <c r="A85">
        <v>1.1000000000000001</v>
      </c>
      <c r="B85">
        <v>0</v>
      </c>
      <c r="C85">
        <v>0.6</v>
      </c>
      <c r="D85">
        <v>0.1</v>
      </c>
      <c r="E85">
        <v>-0.1</v>
      </c>
      <c r="F85">
        <v>2020</v>
      </c>
      <c r="G85">
        <v>4</v>
      </c>
      <c r="H85" t="s">
        <v>40</v>
      </c>
      <c r="I85" t="s">
        <v>29</v>
      </c>
      <c r="J85">
        <f t="shared" si="17"/>
        <v>11.9</v>
      </c>
      <c r="K85">
        <f t="shared" si="19"/>
        <v>8.5500000000000007</v>
      </c>
      <c r="L85">
        <f t="shared" si="20"/>
        <v>-251.721</v>
      </c>
      <c r="M85">
        <f t="shared" si="22"/>
        <v>11.35</v>
      </c>
      <c r="N85" s="2">
        <f t="shared" si="21"/>
        <v>12.15</v>
      </c>
      <c r="O85" s="2">
        <f t="shared" si="18"/>
        <v>11.649999999999999</v>
      </c>
    </row>
    <row r="86" spans="1:15" x14ac:dyDescent="0.25">
      <c r="A86">
        <v>1.1000000000000001</v>
      </c>
      <c r="B86">
        <v>0.1</v>
      </c>
      <c r="C86">
        <v>1.2</v>
      </c>
      <c r="D86">
        <v>0.5</v>
      </c>
      <c r="E86">
        <v>-0.2</v>
      </c>
      <c r="F86">
        <v>2020</v>
      </c>
      <c r="G86">
        <v>11.65823908703087</v>
      </c>
      <c r="H86" t="s">
        <v>41</v>
      </c>
      <c r="I86" t="s">
        <v>29</v>
      </c>
      <c r="J86">
        <f t="shared" si="17"/>
        <v>13.29</v>
      </c>
      <c r="K86">
        <f t="shared" si="19"/>
        <v>10.050000000000001</v>
      </c>
      <c r="L86">
        <f t="shared" si="20"/>
        <v>2848.2790000000005</v>
      </c>
      <c r="M86">
        <f t="shared" si="22"/>
        <v>11.239999999999998</v>
      </c>
      <c r="N86" s="2">
        <f t="shared" si="21"/>
        <v>8.0500000000000007</v>
      </c>
      <c r="O86" s="2">
        <f t="shared" si="18"/>
        <v>7.7700000000000005</v>
      </c>
    </row>
    <row r="87" spans="1:15" x14ac:dyDescent="0.25">
      <c r="A87">
        <v>440.7</v>
      </c>
      <c r="B87">
        <v>408.4</v>
      </c>
      <c r="C87">
        <v>22</v>
      </c>
      <c r="D87">
        <v>29</v>
      </c>
      <c r="E87">
        <v>1.38</v>
      </c>
      <c r="F87">
        <v>2021</v>
      </c>
      <c r="G87">
        <v>30</v>
      </c>
      <c r="H87" t="s">
        <v>28</v>
      </c>
      <c r="I87" t="s">
        <v>29</v>
      </c>
      <c r="J87">
        <f t="shared" si="17"/>
        <v>11.5</v>
      </c>
      <c r="K87">
        <f t="shared" si="19"/>
        <v>6.5500000000000016</v>
      </c>
      <c r="L87">
        <f t="shared" si="20"/>
        <v>2598.2790000000005</v>
      </c>
      <c r="M87">
        <f t="shared" si="22"/>
        <v>12.95</v>
      </c>
      <c r="N87" s="2">
        <f t="shared" si="21"/>
        <v>11.55</v>
      </c>
      <c r="O87" s="2">
        <f t="shared" si="18"/>
        <v>9.3299999999999983</v>
      </c>
    </row>
    <row r="88" spans="1:15" x14ac:dyDescent="0.25">
      <c r="A88">
        <v>91.2</v>
      </c>
      <c r="B88">
        <v>93.4</v>
      </c>
      <c r="C88">
        <v>117.7</v>
      </c>
      <c r="D88">
        <v>135.80000000000001</v>
      </c>
      <c r="E88">
        <v>166.3</v>
      </c>
      <c r="F88">
        <v>2021</v>
      </c>
      <c r="G88">
        <v>201</v>
      </c>
      <c r="H88" t="s">
        <v>30</v>
      </c>
      <c r="I88" t="s">
        <v>29</v>
      </c>
      <c r="J88">
        <f>J39+1</f>
        <v>16.5</v>
      </c>
      <c r="K88">
        <f t="shared" si="19"/>
        <v>8.0500000000000007</v>
      </c>
      <c r="L88">
        <f t="shared" si="20"/>
        <v>2348.279</v>
      </c>
      <c r="M88">
        <f t="shared" si="22"/>
        <v>16.45</v>
      </c>
      <c r="N88" s="2">
        <f t="shared" si="21"/>
        <v>15.049999999999997</v>
      </c>
      <c r="O88" s="2">
        <f t="shared" si="18"/>
        <v>10.329999999999998</v>
      </c>
    </row>
    <row r="89" spans="1:15" x14ac:dyDescent="0.25">
      <c r="A89">
        <v>123.5</v>
      </c>
      <c r="B89">
        <v>23.5</v>
      </c>
      <c r="C89">
        <v>114.3</v>
      </c>
      <c r="D89">
        <v>29.5</v>
      </c>
      <c r="E89">
        <v>7.1</v>
      </c>
      <c r="F89">
        <v>2021</v>
      </c>
      <c r="G89">
        <v>44</v>
      </c>
      <c r="H89" t="s">
        <v>31</v>
      </c>
      <c r="I89" t="s">
        <v>29</v>
      </c>
      <c r="J89">
        <f t="shared" si="17"/>
        <v>14.89</v>
      </c>
      <c r="K89">
        <f t="shared" si="19"/>
        <v>9.5500000000000007</v>
      </c>
      <c r="L89">
        <f t="shared" si="20"/>
        <v>2098.279</v>
      </c>
      <c r="M89">
        <f t="shared" si="22"/>
        <v>13.34</v>
      </c>
      <c r="N89" s="2">
        <f t="shared" si="21"/>
        <v>13.55</v>
      </c>
      <c r="O89" s="2">
        <f t="shared" si="18"/>
        <v>9.93</v>
      </c>
    </row>
    <row r="90" spans="1:15" x14ac:dyDescent="0.25">
      <c r="A90">
        <v>129.9</v>
      </c>
      <c r="B90">
        <v>92.9</v>
      </c>
      <c r="C90">
        <v>82.1</v>
      </c>
      <c r="D90">
        <v>25.6</v>
      </c>
      <c r="E90">
        <v>3.3</v>
      </c>
      <c r="F90">
        <v>2021</v>
      </c>
      <c r="G90">
        <v>106</v>
      </c>
      <c r="H90" t="s">
        <v>32</v>
      </c>
      <c r="I90" t="s">
        <v>29</v>
      </c>
      <c r="J90">
        <f t="shared" si="17"/>
        <v>12.8</v>
      </c>
      <c r="K90">
        <f t="shared" si="19"/>
        <v>11.05</v>
      </c>
      <c r="L90">
        <f t="shared" si="20"/>
        <v>1848.279</v>
      </c>
      <c r="M90">
        <f t="shared" si="22"/>
        <v>9.75</v>
      </c>
      <c r="N90" s="2">
        <f t="shared" si="21"/>
        <v>12.05</v>
      </c>
      <c r="O90" s="2">
        <f t="shared" si="18"/>
        <v>10.45</v>
      </c>
    </row>
    <row r="91" spans="1:15" x14ac:dyDescent="0.25">
      <c r="A91">
        <v>83.8</v>
      </c>
      <c r="B91">
        <v>59.7</v>
      </c>
      <c r="C91">
        <v>59.7</v>
      </c>
      <c r="D91">
        <v>17.5</v>
      </c>
      <c r="E91">
        <v>4</v>
      </c>
      <c r="F91">
        <v>2021</v>
      </c>
      <c r="G91">
        <v>13</v>
      </c>
      <c r="H91" t="s">
        <v>33</v>
      </c>
      <c r="I91" t="s">
        <v>29</v>
      </c>
      <c r="J91">
        <f t="shared" si="17"/>
        <v>9.9</v>
      </c>
      <c r="K91">
        <f t="shared" si="19"/>
        <v>12.55</v>
      </c>
      <c r="L91">
        <f t="shared" si="20"/>
        <v>1598.279</v>
      </c>
      <c r="M91">
        <f t="shared" si="22"/>
        <v>5.35</v>
      </c>
      <c r="N91" s="2">
        <f t="shared" si="21"/>
        <v>10.55</v>
      </c>
      <c r="O91" s="2">
        <f t="shared" si="18"/>
        <v>10.649999999999999</v>
      </c>
    </row>
    <row r="92" spans="1:15" x14ac:dyDescent="0.25">
      <c r="A92">
        <v>31.8</v>
      </c>
      <c r="B92">
        <v>23.7</v>
      </c>
      <c r="C92">
        <v>15.7</v>
      </c>
      <c r="D92">
        <v>16.3</v>
      </c>
      <c r="E92">
        <v>19.2</v>
      </c>
      <c r="F92">
        <v>2021</v>
      </c>
      <c r="G92">
        <v>27</v>
      </c>
      <c r="H92" t="s">
        <v>34</v>
      </c>
      <c r="I92" t="s">
        <v>29</v>
      </c>
      <c r="J92">
        <f t="shared" si="17"/>
        <v>10.7</v>
      </c>
      <c r="K92">
        <f t="shared" si="19"/>
        <v>14.05</v>
      </c>
      <c r="L92">
        <f t="shared" si="20"/>
        <v>1348.279</v>
      </c>
      <c r="M92">
        <f t="shared" si="22"/>
        <v>4.6499999999999986</v>
      </c>
      <c r="N92" s="2">
        <f t="shared" si="21"/>
        <v>9.0500000000000007</v>
      </c>
      <c r="O92" s="2">
        <f t="shared" si="18"/>
        <v>11.45</v>
      </c>
    </row>
    <row r="93" spans="1:15" x14ac:dyDescent="0.25">
      <c r="A93">
        <v>29.3</v>
      </c>
      <c r="B93">
        <v>28.8</v>
      </c>
      <c r="C93">
        <v>23.6</v>
      </c>
      <c r="D93">
        <v>19.100000000000001</v>
      </c>
      <c r="E93">
        <v>11.6</v>
      </c>
      <c r="F93">
        <v>2021</v>
      </c>
      <c r="G93">
        <v>57</v>
      </c>
      <c r="H93" t="s">
        <v>35</v>
      </c>
      <c r="I93" t="s">
        <v>29</v>
      </c>
      <c r="J93">
        <f t="shared" si="17"/>
        <v>14.1</v>
      </c>
      <c r="K93">
        <f t="shared" si="19"/>
        <v>15.55</v>
      </c>
      <c r="L93">
        <f t="shared" si="20"/>
        <v>1098.279</v>
      </c>
      <c r="M93">
        <f t="shared" si="22"/>
        <v>6.5499999999999989</v>
      </c>
      <c r="N93" s="2">
        <f t="shared" si="21"/>
        <v>7.5500000000000007</v>
      </c>
      <c r="O93" s="2">
        <f t="shared" si="18"/>
        <v>8.34</v>
      </c>
    </row>
    <row r="94" spans="1:15" x14ac:dyDescent="0.25">
      <c r="A94">
        <v>62.6</v>
      </c>
      <c r="B94">
        <v>32.1</v>
      </c>
      <c r="C94">
        <v>29.4</v>
      </c>
      <c r="D94">
        <v>9</v>
      </c>
      <c r="E94">
        <v>2.1</v>
      </c>
      <c r="F94">
        <v>2021</v>
      </c>
      <c r="G94">
        <v>10</v>
      </c>
      <c r="H94" t="s">
        <v>36</v>
      </c>
      <c r="I94" t="s">
        <v>29</v>
      </c>
      <c r="J94">
        <f t="shared" si="17"/>
        <v>12.71</v>
      </c>
      <c r="K94">
        <f t="shared" si="19"/>
        <v>17.05</v>
      </c>
      <c r="L94">
        <f t="shared" si="20"/>
        <v>848.279</v>
      </c>
      <c r="M94">
        <f t="shared" si="22"/>
        <v>3.66</v>
      </c>
      <c r="N94" s="2">
        <f t="shared" si="21"/>
        <v>6.0500000000000007</v>
      </c>
      <c r="O94" s="2">
        <f t="shared" si="18"/>
        <v>9</v>
      </c>
    </row>
    <row r="95" spans="1:15" x14ac:dyDescent="0.25">
      <c r="A95">
        <v>21.9</v>
      </c>
      <c r="B95">
        <v>14.7</v>
      </c>
      <c r="C95">
        <v>19.5</v>
      </c>
      <c r="D95">
        <v>3.9</v>
      </c>
      <c r="E95">
        <v>1.3</v>
      </c>
      <c r="F95">
        <v>2021</v>
      </c>
      <c r="G95">
        <v>28</v>
      </c>
      <c r="H95" t="s">
        <v>37</v>
      </c>
      <c r="I95" t="s">
        <v>29</v>
      </c>
      <c r="J95">
        <f t="shared" si="17"/>
        <v>17.3</v>
      </c>
      <c r="K95">
        <f t="shared" si="19"/>
        <v>12.55</v>
      </c>
      <c r="L95">
        <f t="shared" si="20"/>
        <v>598.279</v>
      </c>
      <c r="M95">
        <f t="shared" si="22"/>
        <v>12.75</v>
      </c>
      <c r="N95" s="2">
        <f t="shared" si="21"/>
        <v>9.5500000000000007</v>
      </c>
      <c r="O95" s="2">
        <f t="shared" si="18"/>
        <v>7.44</v>
      </c>
    </row>
    <row r="96" spans="1:15" x14ac:dyDescent="0.25">
      <c r="A96">
        <v>7.6</v>
      </c>
      <c r="B96">
        <v>3</v>
      </c>
      <c r="C96">
        <v>5.3</v>
      </c>
      <c r="D96">
        <v>2.2999999999999998</v>
      </c>
      <c r="E96">
        <v>-0.2</v>
      </c>
      <c r="F96">
        <v>2021</v>
      </c>
      <c r="G96">
        <v>42</v>
      </c>
      <c r="H96" t="s">
        <v>38</v>
      </c>
      <c r="I96" t="s">
        <v>29</v>
      </c>
      <c r="J96">
        <f t="shared" si="17"/>
        <v>13.9</v>
      </c>
      <c r="K96">
        <f t="shared" si="19"/>
        <v>8.93</v>
      </c>
      <c r="L96">
        <f t="shared" si="20"/>
        <v>348.279</v>
      </c>
      <c r="M96">
        <f t="shared" si="22"/>
        <v>12.97</v>
      </c>
      <c r="N96" s="2">
        <f t="shared" si="21"/>
        <v>13.05</v>
      </c>
      <c r="O96" s="2">
        <f t="shared" si="18"/>
        <v>13.45</v>
      </c>
    </row>
    <row r="97" spans="1:15" x14ac:dyDescent="0.25">
      <c r="A97">
        <v>13.8</v>
      </c>
      <c r="B97">
        <v>3.1</v>
      </c>
      <c r="C97">
        <v>3</v>
      </c>
      <c r="D97">
        <v>0.7</v>
      </c>
      <c r="E97">
        <v>-0.4</v>
      </c>
      <c r="F97">
        <v>2021</v>
      </c>
      <c r="G97">
        <v>27</v>
      </c>
      <c r="H97" t="s">
        <v>39</v>
      </c>
      <c r="I97" t="s">
        <v>29</v>
      </c>
      <c r="J97">
        <f t="shared" si="17"/>
        <v>15.29</v>
      </c>
      <c r="K97">
        <f t="shared" si="19"/>
        <v>10.96</v>
      </c>
      <c r="L97">
        <f t="shared" si="20"/>
        <v>98.278999999999996</v>
      </c>
      <c r="M97">
        <f t="shared" si="22"/>
        <v>12.329999999999998</v>
      </c>
      <c r="N97" s="2">
        <f t="shared" si="21"/>
        <v>12.55</v>
      </c>
      <c r="O97" s="2">
        <f t="shared" si="18"/>
        <v>12.649999999999999</v>
      </c>
    </row>
    <row r="98" spans="1:15" x14ac:dyDescent="0.25">
      <c r="A98">
        <v>1.1000000000000001</v>
      </c>
      <c r="B98">
        <v>0</v>
      </c>
      <c r="C98">
        <v>0.6</v>
      </c>
      <c r="D98">
        <v>0.2</v>
      </c>
      <c r="E98">
        <v>0</v>
      </c>
      <c r="F98">
        <v>2021</v>
      </c>
      <c r="G98">
        <v>4</v>
      </c>
      <c r="H98" t="s">
        <v>40</v>
      </c>
      <c r="I98" t="s">
        <v>29</v>
      </c>
      <c r="J98">
        <f t="shared" si="17"/>
        <v>13.5</v>
      </c>
      <c r="K98">
        <f t="shared" si="19"/>
        <v>12.46</v>
      </c>
      <c r="L98">
        <f t="shared" si="20"/>
        <v>3198.2790000000005</v>
      </c>
      <c r="M98">
        <f t="shared" si="22"/>
        <v>9.0399999999999991</v>
      </c>
      <c r="N98" s="2">
        <f t="shared" si="21"/>
        <v>8.4500000000000011</v>
      </c>
      <c r="O98" s="2">
        <f t="shared" si="18"/>
        <v>8.77</v>
      </c>
    </row>
    <row r="99" spans="1:15" x14ac:dyDescent="0.25">
      <c r="A99">
        <v>2.2999999999999998</v>
      </c>
      <c r="B99">
        <v>0.3</v>
      </c>
      <c r="C99">
        <v>2.2999999999999998</v>
      </c>
      <c r="D99">
        <v>0.7</v>
      </c>
      <c r="E99">
        <v>0.1</v>
      </c>
      <c r="F99">
        <v>2021</v>
      </c>
      <c r="G99">
        <v>12</v>
      </c>
      <c r="H99" t="s">
        <v>41</v>
      </c>
      <c r="I99" t="s">
        <v>29</v>
      </c>
      <c r="J99">
        <f t="shared" si="17"/>
        <v>12</v>
      </c>
      <c r="K99">
        <f t="shared" si="19"/>
        <v>8.9600000000000009</v>
      </c>
      <c r="L99">
        <f t="shared" si="20"/>
        <v>2948.2790000000005</v>
      </c>
      <c r="M99">
        <f t="shared" si="22"/>
        <v>11.04</v>
      </c>
      <c r="N99" s="2">
        <f t="shared" si="21"/>
        <v>11.950000000000001</v>
      </c>
      <c r="O99" s="2">
        <f t="shared" si="18"/>
        <v>6.78</v>
      </c>
    </row>
    <row r="100" spans="1:15" x14ac:dyDescent="0.25">
      <c r="A100">
        <v>454.9</v>
      </c>
      <c r="B100">
        <v>423.4</v>
      </c>
      <c r="C100">
        <v>23.7</v>
      </c>
      <c r="D100">
        <v>25.5</v>
      </c>
      <c r="E100">
        <v>-2.7</v>
      </c>
      <c r="F100">
        <v>2022</v>
      </c>
      <c r="G100">
        <v>30</v>
      </c>
      <c r="H100" t="s">
        <v>28</v>
      </c>
      <c r="I100" t="s">
        <v>29</v>
      </c>
      <c r="J100">
        <f t="shared" si="17"/>
        <v>10.92</v>
      </c>
      <c r="K100">
        <f t="shared" si="19"/>
        <v>10.46</v>
      </c>
      <c r="L100">
        <f t="shared" si="20"/>
        <v>2698.2790000000005</v>
      </c>
      <c r="M100">
        <f t="shared" si="22"/>
        <v>8.4599999999999991</v>
      </c>
      <c r="N100" s="2">
        <f t="shared" si="21"/>
        <v>15.449999999999996</v>
      </c>
      <c r="O100" s="2">
        <f t="shared" si="18"/>
        <v>11.879999999999999</v>
      </c>
    </row>
    <row r="101" spans="1:15" x14ac:dyDescent="0.25">
      <c r="A101">
        <v>32.9</v>
      </c>
      <c r="B101">
        <v>31.4</v>
      </c>
      <c r="C101">
        <v>38.9</v>
      </c>
      <c r="D101">
        <v>47.8</v>
      </c>
      <c r="E101">
        <v>58.4</v>
      </c>
      <c r="F101">
        <v>2022</v>
      </c>
      <c r="G101">
        <v>203</v>
      </c>
      <c r="H101" t="s">
        <v>30</v>
      </c>
      <c r="I101" t="s">
        <v>29</v>
      </c>
      <c r="J101">
        <f t="shared" si="17"/>
        <v>13.5</v>
      </c>
      <c r="K101">
        <f t="shared" si="19"/>
        <v>11.96</v>
      </c>
      <c r="L101">
        <f t="shared" si="20"/>
        <v>2448.279</v>
      </c>
      <c r="M101">
        <f t="shared" si="22"/>
        <v>9.5399999999999991</v>
      </c>
      <c r="N101" s="2">
        <f t="shared" si="21"/>
        <v>13.950000000000001</v>
      </c>
      <c r="O101" s="2">
        <f t="shared" si="18"/>
        <v>12.879999999999999</v>
      </c>
    </row>
    <row r="102" spans="1:15" x14ac:dyDescent="0.25">
      <c r="A102">
        <v>149.69999999999999</v>
      </c>
      <c r="B102">
        <v>30.9</v>
      </c>
      <c r="C102">
        <v>132.80000000000001</v>
      </c>
      <c r="D102">
        <v>34.700000000000003</v>
      </c>
      <c r="E102">
        <v>9.8000000000000007</v>
      </c>
      <c r="F102">
        <v>2022</v>
      </c>
      <c r="G102">
        <v>38</v>
      </c>
      <c r="H102" t="s">
        <v>31</v>
      </c>
      <c r="I102" t="s">
        <v>29</v>
      </c>
      <c r="J102">
        <f t="shared" si="17"/>
        <v>13.7</v>
      </c>
      <c r="K102">
        <f t="shared" si="19"/>
        <v>13.46</v>
      </c>
      <c r="L102">
        <f t="shared" si="20"/>
        <v>2198.279</v>
      </c>
      <c r="M102">
        <f t="shared" si="22"/>
        <v>8.2399999999999984</v>
      </c>
      <c r="N102" s="2">
        <f t="shared" si="21"/>
        <v>12.450000000000001</v>
      </c>
      <c r="O102" s="2">
        <f t="shared" si="18"/>
        <v>12.48</v>
      </c>
    </row>
    <row r="103" spans="1:15" x14ac:dyDescent="0.25">
      <c r="A103">
        <v>152.1</v>
      </c>
      <c r="B103">
        <v>107.3</v>
      </c>
      <c r="C103">
        <v>102.8</v>
      </c>
      <c r="D103">
        <v>30.1</v>
      </c>
      <c r="E103">
        <v>3.4</v>
      </c>
      <c r="F103">
        <v>2022</v>
      </c>
      <c r="G103">
        <v>125</v>
      </c>
      <c r="H103" t="s">
        <v>32</v>
      </c>
      <c r="I103" t="s">
        <v>29</v>
      </c>
      <c r="J103">
        <f t="shared" si="17"/>
        <v>12.5</v>
      </c>
      <c r="K103">
        <f t="shared" si="19"/>
        <v>14.96</v>
      </c>
      <c r="L103">
        <f t="shared" si="20"/>
        <v>1948.279</v>
      </c>
      <c r="M103">
        <f t="shared" si="22"/>
        <v>5.5399999999999991</v>
      </c>
      <c r="N103" s="2">
        <f t="shared" si="21"/>
        <v>10.950000000000001</v>
      </c>
      <c r="O103" s="2">
        <f t="shared" si="18"/>
        <v>13</v>
      </c>
    </row>
    <row r="104" spans="1:15" x14ac:dyDescent="0.25">
      <c r="A104">
        <v>97.3</v>
      </c>
      <c r="B104">
        <v>61</v>
      </c>
      <c r="C104">
        <v>76.2</v>
      </c>
      <c r="D104">
        <v>25.2</v>
      </c>
      <c r="E104">
        <v>4.7</v>
      </c>
      <c r="F104">
        <v>2022</v>
      </c>
      <c r="G104">
        <v>16</v>
      </c>
      <c r="H104" t="s">
        <v>33</v>
      </c>
      <c r="I104" t="s">
        <v>29</v>
      </c>
      <c r="J104">
        <f t="shared" si="17"/>
        <v>15.5</v>
      </c>
      <c r="K104">
        <f t="shared" si="19"/>
        <v>16.46</v>
      </c>
      <c r="L104">
        <f t="shared" si="20"/>
        <v>1698.279</v>
      </c>
      <c r="M104">
        <f t="shared" si="22"/>
        <v>7.0399999999999991</v>
      </c>
      <c r="N104" s="2">
        <f t="shared" si="21"/>
        <v>9.4500000000000011</v>
      </c>
      <c r="O104" s="2">
        <f t="shared" si="18"/>
        <v>13.2</v>
      </c>
    </row>
    <row r="105" spans="1:15" x14ac:dyDescent="0.25">
      <c r="A105">
        <v>12.7</v>
      </c>
      <c r="B105">
        <v>10.199999999999999</v>
      </c>
      <c r="C105">
        <v>5.8</v>
      </c>
      <c r="D105">
        <v>5.2</v>
      </c>
      <c r="E105">
        <v>5.7</v>
      </c>
      <c r="F105">
        <v>2022</v>
      </c>
      <c r="G105">
        <v>27</v>
      </c>
      <c r="H105" t="s">
        <v>34</v>
      </c>
      <c r="I105" t="s">
        <v>29</v>
      </c>
      <c r="J105">
        <f t="shared" si="17"/>
        <v>10.5</v>
      </c>
      <c r="K105">
        <f t="shared" si="19"/>
        <v>17.96</v>
      </c>
      <c r="L105">
        <f t="shared" si="20"/>
        <v>1448.279</v>
      </c>
      <c r="M105">
        <f t="shared" si="22"/>
        <v>0.53999999999999915</v>
      </c>
      <c r="N105" s="2">
        <f t="shared" si="21"/>
        <v>7.9500000000000011</v>
      </c>
      <c r="O105" s="2">
        <f t="shared" si="18"/>
        <v>14</v>
      </c>
    </row>
    <row r="106" spans="1:15" x14ac:dyDescent="0.25">
      <c r="A106">
        <v>11.2</v>
      </c>
      <c r="B106">
        <v>10</v>
      </c>
      <c r="C106">
        <v>8.3000000000000007</v>
      </c>
      <c r="D106">
        <v>7</v>
      </c>
      <c r="E106">
        <v>6.4</v>
      </c>
      <c r="F106">
        <v>2022</v>
      </c>
      <c r="G106">
        <v>57</v>
      </c>
      <c r="H106" t="s">
        <v>35</v>
      </c>
      <c r="I106" t="s">
        <v>29</v>
      </c>
      <c r="J106">
        <f t="shared" si="17"/>
        <v>12.11</v>
      </c>
      <c r="K106">
        <f t="shared" si="19"/>
        <v>19.46</v>
      </c>
      <c r="L106">
        <f t="shared" si="20"/>
        <v>1198.279</v>
      </c>
      <c r="M106">
        <f t="shared" si="22"/>
        <v>0.64999999999999858</v>
      </c>
      <c r="N106" s="2">
        <f t="shared" si="21"/>
        <v>6.4500000000000011</v>
      </c>
      <c r="O106" s="2">
        <f t="shared" si="18"/>
        <v>10.89</v>
      </c>
    </row>
    <row r="107" spans="1:15" x14ac:dyDescent="0.25">
      <c r="A107">
        <v>69.3</v>
      </c>
      <c r="B107">
        <v>35.299999999999997</v>
      </c>
      <c r="C107">
        <v>27.3</v>
      </c>
      <c r="D107">
        <v>8.6999999999999993</v>
      </c>
      <c r="E107">
        <v>2.8</v>
      </c>
      <c r="F107">
        <v>2022</v>
      </c>
      <c r="G107">
        <v>11</v>
      </c>
      <c r="H107" t="s">
        <v>36</v>
      </c>
      <c r="I107" t="s">
        <v>29</v>
      </c>
      <c r="J107">
        <f t="shared" si="17"/>
        <v>14.2</v>
      </c>
      <c r="K107">
        <f t="shared" si="19"/>
        <v>14.96</v>
      </c>
      <c r="L107">
        <f t="shared" si="20"/>
        <v>948.279</v>
      </c>
      <c r="M107">
        <f t="shared" si="22"/>
        <v>7.2399999999999984</v>
      </c>
      <c r="N107" s="2">
        <f t="shared" si="21"/>
        <v>9.9500000000000011</v>
      </c>
      <c r="O107" s="2">
        <f t="shared" si="18"/>
        <v>11.55</v>
      </c>
    </row>
    <row r="108" spans="1:15" x14ac:dyDescent="0.25">
      <c r="A108">
        <v>26.4</v>
      </c>
      <c r="B108">
        <v>18.100000000000001</v>
      </c>
      <c r="C108">
        <v>22.2</v>
      </c>
      <c r="D108">
        <v>4.9000000000000004</v>
      </c>
      <c r="E108">
        <v>0.8</v>
      </c>
      <c r="F108">
        <v>2022</v>
      </c>
      <c r="G108">
        <v>33</v>
      </c>
      <c r="H108" t="s">
        <v>37</v>
      </c>
      <c r="I108" t="s">
        <v>29</v>
      </c>
      <c r="J108">
        <f t="shared" si="17"/>
        <v>17.100000000000001</v>
      </c>
      <c r="K108">
        <f t="shared" si="19"/>
        <v>11.34</v>
      </c>
      <c r="L108">
        <f t="shared" si="20"/>
        <v>698.279</v>
      </c>
      <c r="M108">
        <f t="shared" si="22"/>
        <v>13.760000000000002</v>
      </c>
      <c r="N108" s="2">
        <f t="shared" si="21"/>
        <v>13.450000000000001</v>
      </c>
      <c r="O108" s="2">
        <f t="shared" si="18"/>
        <v>9.99</v>
      </c>
    </row>
    <row r="109" spans="1:15" x14ac:dyDescent="0.25">
      <c r="A109">
        <v>5.6</v>
      </c>
      <c r="B109">
        <v>1.9</v>
      </c>
      <c r="C109">
        <v>3.3</v>
      </c>
      <c r="D109">
        <v>1.7</v>
      </c>
      <c r="E109">
        <v>-1.4</v>
      </c>
      <c r="F109">
        <v>2022</v>
      </c>
      <c r="G109">
        <v>42</v>
      </c>
      <c r="H109" t="s">
        <v>38</v>
      </c>
      <c r="I109" t="s">
        <v>29</v>
      </c>
      <c r="J109">
        <f t="shared" si="17"/>
        <v>16.3</v>
      </c>
      <c r="K109">
        <f t="shared" si="19"/>
        <v>8.9400000000000013</v>
      </c>
      <c r="L109">
        <f t="shared" si="20"/>
        <v>448.279</v>
      </c>
      <c r="M109">
        <f t="shared" si="22"/>
        <v>15.36</v>
      </c>
      <c r="N109" s="2">
        <f t="shared" si="21"/>
        <v>12.950000000000001</v>
      </c>
      <c r="O109" s="2">
        <f t="shared" si="18"/>
        <v>16</v>
      </c>
    </row>
    <row r="110" spans="1:15" x14ac:dyDescent="0.25">
      <c r="A110">
        <v>14.4</v>
      </c>
      <c r="B110">
        <v>3.2</v>
      </c>
      <c r="C110">
        <v>3</v>
      </c>
      <c r="D110">
        <v>0.7</v>
      </c>
      <c r="E110">
        <v>-0.1</v>
      </c>
      <c r="F110">
        <v>2022</v>
      </c>
      <c r="G110">
        <v>27</v>
      </c>
      <c r="H110" t="s">
        <v>39</v>
      </c>
      <c r="I110" t="s">
        <v>29</v>
      </c>
      <c r="J110">
        <f t="shared" si="17"/>
        <v>12.9</v>
      </c>
      <c r="K110">
        <f t="shared" si="19"/>
        <v>5.4400000000000013</v>
      </c>
      <c r="L110">
        <f t="shared" si="20"/>
        <v>3548.2790000000005</v>
      </c>
      <c r="M110">
        <f t="shared" si="22"/>
        <v>15.459999999999999</v>
      </c>
      <c r="N110" s="2">
        <f t="shared" si="21"/>
        <v>8.8500000000000014</v>
      </c>
      <c r="O110" s="2">
        <f t="shared" si="18"/>
        <v>15.2</v>
      </c>
    </row>
    <row r="111" spans="1:15" x14ac:dyDescent="0.25">
      <c r="A111">
        <v>1.1000000000000001</v>
      </c>
      <c r="B111">
        <v>0</v>
      </c>
      <c r="C111">
        <v>0.7</v>
      </c>
      <c r="D111">
        <v>0.1</v>
      </c>
      <c r="E111">
        <v>0</v>
      </c>
      <c r="F111">
        <v>2022</v>
      </c>
      <c r="G111">
        <v>4</v>
      </c>
      <c r="H111" t="s">
        <v>40</v>
      </c>
      <c r="I111" t="s">
        <v>29</v>
      </c>
      <c r="J111">
        <f t="shared" si="17"/>
        <v>13.8</v>
      </c>
      <c r="K111">
        <f t="shared" si="19"/>
        <v>6.9400000000000013</v>
      </c>
      <c r="L111">
        <f t="shared" si="20"/>
        <v>3298.2790000000005</v>
      </c>
      <c r="M111">
        <f t="shared" si="22"/>
        <v>14.86</v>
      </c>
      <c r="N111" s="2">
        <f t="shared" si="21"/>
        <v>12.350000000000001</v>
      </c>
      <c r="O111" s="2">
        <f t="shared" si="18"/>
        <v>11.32</v>
      </c>
    </row>
    <row r="112" spans="1:15" x14ac:dyDescent="0.25">
      <c r="A112">
        <v>3.3</v>
      </c>
      <c r="B112">
        <v>0.4</v>
      </c>
      <c r="C112">
        <v>2.8</v>
      </c>
      <c r="D112">
        <v>1</v>
      </c>
      <c r="E112">
        <v>0.1</v>
      </c>
      <c r="F112">
        <v>2022</v>
      </c>
      <c r="G112">
        <v>17</v>
      </c>
      <c r="H112" t="s">
        <v>41</v>
      </c>
      <c r="I112" t="s">
        <v>29</v>
      </c>
      <c r="J112">
        <f t="shared" si="17"/>
        <v>10.5</v>
      </c>
      <c r="K112">
        <f t="shared" si="19"/>
        <v>8.4400000000000013</v>
      </c>
      <c r="L112">
        <f t="shared" si="20"/>
        <v>3048.2790000000005</v>
      </c>
      <c r="M112">
        <f t="shared" si="22"/>
        <v>10.059999999999999</v>
      </c>
      <c r="N112" s="2">
        <f t="shared" si="21"/>
        <v>15.849999999999994</v>
      </c>
      <c r="O112" s="2">
        <f t="shared" si="18"/>
        <v>12.879999999999999</v>
      </c>
    </row>
    <row r="113" spans="1:15" x14ac:dyDescent="0.25">
      <c r="A113">
        <v>4.7</v>
      </c>
      <c r="B113">
        <v>1.4</v>
      </c>
      <c r="C113">
        <v>1.2</v>
      </c>
      <c r="D113">
        <v>0.1</v>
      </c>
      <c r="E113">
        <v>-1.4</v>
      </c>
      <c r="F113">
        <v>2022</v>
      </c>
      <c r="G113">
        <v>14</v>
      </c>
      <c r="H113" t="s">
        <v>42</v>
      </c>
      <c r="I113" t="s">
        <v>29</v>
      </c>
      <c r="J113">
        <f t="shared" si="17"/>
        <v>18.920000000000002</v>
      </c>
      <c r="K113">
        <f t="shared" si="19"/>
        <v>9.9400000000000013</v>
      </c>
      <c r="L113">
        <f t="shared" si="20"/>
        <v>2798.2790000000005</v>
      </c>
      <c r="M113">
        <f t="shared" si="22"/>
        <v>16.98</v>
      </c>
      <c r="N113" s="2">
        <f t="shared" si="21"/>
        <v>14.350000000000001</v>
      </c>
      <c r="O113" s="2">
        <f t="shared" si="18"/>
        <v>13.879999999999999</v>
      </c>
    </row>
    <row r="114" spans="1:15" x14ac:dyDescent="0.25">
      <c r="A114">
        <v>481.9</v>
      </c>
      <c r="B114">
        <v>451.6</v>
      </c>
      <c r="C114">
        <v>22.9</v>
      </c>
      <c r="D114">
        <v>28.8</v>
      </c>
      <c r="E114">
        <v>1.4</v>
      </c>
      <c r="F114">
        <v>2023</v>
      </c>
      <c r="G114">
        <v>31</v>
      </c>
      <c r="H114" t="s">
        <v>28</v>
      </c>
      <c r="I114" t="s">
        <v>29</v>
      </c>
      <c r="J114">
        <f t="shared" si="17"/>
        <v>16.5</v>
      </c>
      <c r="K114">
        <f t="shared" si="19"/>
        <v>11.440000000000001</v>
      </c>
      <c r="L114">
        <f t="shared" si="20"/>
        <v>2548.279</v>
      </c>
      <c r="M114">
        <f t="shared" si="22"/>
        <v>13.059999999999999</v>
      </c>
      <c r="N114" s="2">
        <f t="shared" si="21"/>
        <v>12.850000000000001</v>
      </c>
      <c r="O114" s="2">
        <f t="shared" si="18"/>
        <v>13.48</v>
      </c>
    </row>
    <row r="115" spans="1:15" x14ac:dyDescent="0.25">
      <c r="A115">
        <v>3.5</v>
      </c>
      <c r="B115">
        <v>3.5</v>
      </c>
      <c r="C115">
        <v>7.1</v>
      </c>
      <c r="D115">
        <v>10</v>
      </c>
      <c r="E115">
        <v>12.8</v>
      </c>
      <c r="F115">
        <v>2023</v>
      </c>
      <c r="G115">
        <v>199</v>
      </c>
      <c r="H115" t="s">
        <v>30</v>
      </c>
      <c r="I115" t="s">
        <v>29</v>
      </c>
      <c r="J115">
        <f t="shared" si="17"/>
        <v>21.7</v>
      </c>
      <c r="K115">
        <f t="shared" si="19"/>
        <v>12.940000000000001</v>
      </c>
      <c r="L115">
        <f t="shared" si="20"/>
        <v>2298.279</v>
      </c>
      <c r="M115">
        <f t="shared" si="22"/>
        <v>16.759999999999998</v>
      </c>
      <c r="N115" s="2">
        <f t="shared" si="21"/>
        <v>11.350000000000001</v>
      </c>
      <c r="O115" s="2">
        <f t="shared" si="18"/>
        <v>14</v>
      </c>
    </row>
    <row r="116" spans="1:15" x14ac:dyDescent="0.25">
      <c r="A116">
        <v>175.4</v>
      </c>
      <c r="B116">
        <v>45.7</v>
      </c>
      <c r="C116">
        <v>150.9</v>
      </c>
      <c r="D116">
        <v>40.5</v>
      </c>
      <c r="E116">
        <v>8.1</v>
      </c>
      <c r="F116">
        <v>2023</v>
      </c>
      <c r="G116">
        <v>11.65823908703087</v>
      </c>
      <c r="H116" t="s">
        <v>31</v>
      </c>
      <c r="I116" t="s">
        <v>29</v>
      </c>
      <c r="J116">
        <f t="shared" ref="J116:J127" si="23">J67+1</f>
        <v>14.5</v>
      </c>
      <c r="K116">
        <f t="shared" si="19"/>
        <v>14.440000000000001</v>
      </c>
      <c r="L116">
        <f t="shared" si="20"/>
        <v>2048.279</v>
      </c>
      <c r="M116">
        <f t="shared" si="22"/>
        <v>8.0599999999999987</v>
      </c>
      <c r="N116" s="2">
        <f t="shared" si="21"/>
        <v>9.8500000000000014</v>
      </c>
      <c r="O116" s="2">
        <f t="shared" ref="O116:O127" si="24">O67+2</f>
        <v>14.2</v>
      </c>
    </row>
    <row r="117" spans="1:15" x14ac:dyDescent="0.25">
      <c r="A117">
        <v>174.2</v>
      </c>
      <c r="B117">
        <v>119.1</v>
      </c>
      <c r="C117">
        <v>113.8</v>
      </c>
      <c r="D117">
        <v>36.5</v>
      </c>
      <c r="E117">
        <v>5.6</v>
      </c>
      <c r="F117">
        <v>2023</v>
      </c>
      <c r="G117">
        <v>11.65823908703087</v>
      </c>
      <c r="H117" t="s">
        <v>32</v>
      </c>
      <c r="I117" t="s">
        <v>29</v>
      </c>
      <c r="J117">
        <f t="shared" si="23"/>
        <v>13.5</v>
      </c>
      <c r="K117">
        <f t="shared" si="19"/>
        <v>15.940000000000001</v>
      </c>
      <c r="L117">
        <f t="shared" si="20"/>
        <v>1798.279</v>
      </c>
      <c r="M117">
        <f t="shared" si="22"/>
        <v>5.5599999999999987</v>
      </c>
      <c r="N117" s="2">
        <f t="shared" si="21"/>
        <v>8.3500000000000014</v>
      </c>
      <c r="O117" s="2">
        <f t="shared" si="24"/>
        <v>15</v>
      </c>
    </row>
    <row r="118" spans="1:15" x14ac:dyDescent="0.25">
      <c r="A118">
        <v>132.1</v>
      </c>
      <c r="B118">
        <v>81</v>
      </c>
      <c r="C118">
        <v>99.8</v>
      </c>
      <c r="D118">
        <v>30</v>
      </c>
      <c r="E118">
        <v>5.7</v>
      </c>
      <c r="F118">
        <v>2023</v>
      </c>
      <c r="G118">
        <v>18</v>
      </c>
      <c r="H118" t="s">
        <v>33</v>
      </c>
      <c r="I118" t="s">
        <v>29</v>
      </c>
      <c r="J118">
        <f t="shared" si="23"/>
        <v>8.5</v>
      </c>
      <c r="K118">
        <f t="shared" si="19"/>
        <v>11.440000000000001</v>
      </c>
      <c r="L118">
        <f t="shared" si="20"/>
        <v>1548.279</v>
      </c>
      <c r="M118">
        <f t="shared" si="22"/>
        <v>5.0599999999999987</v>
      </c>
      <c r="N118" s="2">
        <f t="shared" si="21"/>
        <v>6.8500000000000014</v>
      </c>
      <c r="O118" s="2">
        <f t="shared" si="24"/>
        <v>11.89</v>
      </c>
    </row>
    <row r="119" spans="1:15" x14ac:dyDescent="0.25">
      <c r="A119">
        <v>3.4</v>
      </c>
      <c r="B119">
        <v>0.4</v>
      </c>
      <c r="C119">
        <v>-1.4</v>
      </c>
      <c r="D119">
        <v>-0.6</v>
      </c>
      <c r="E119">
        <v>-1.6</v>
      </c>
      <c r="F119">
        <v>2023</v>
      </c>
      <c r="G119">
        <v>27</v>
      </c>
      <c r="H119" t="s">
        <v>34</v>
      </c>
      <c r="I119" t="s">
        <v>29</v>
      </c>
      <c r="J119">
        <f t="shared" si="23"/>
        <v>10.11</v>
      </c>
      <c r="K119">
        <f t="shared" si="19"/>
        <v>7.82</v>
      </c>
      <c r="L119">
        <f t="shared" si="20"/>
        <v>1298.279</v>
      </c>
      <c r="M119">
        <f t="shared" si="22"/>
        <v>10.29</v>
      </c>
      <c r="N119" s="2">
        <f t="shared" si="21"/>
        <v>10.350000000000001</v>
      </c>
      <c r="O119" s="2">
        <f t="shared" si="24"/>
        <v>12.55</v>
      </c>
    </row>
    <row r="120" spans="1:15" x14ac:dyDescent="0.25">
      <c r="A120">
        <v>1</v>
      </c>
      <c r="B120">
        <v>-1.8</v>
      </c>
      <c r="C120">
        <v>-2.6</v>
      </c>
      <c r="D120">
        <v>-0.4</v>
      </c>
      <c r="E120">
        <v>-2.4</v>
      </c>
      <c r="F120">
        <v>2023</v>
      </c>
      <c r="G120">
        <v>11.65823908703087</v>
      </c>
      <c r="H120" t="s">
        <v>35</v>
      </c>
      <c r="I120" t="s">
        <v>29</v>
      </c>
      <c r="J120">
        <f t="shared" si="23"/>
        <v>12.2</v>
      </c>
      <c r="K120">
        <f t="shared" si="19"/>
        <v>8.4400000000000013</v>
      </c>
      <c r="L120">
        <f t="shared" si="20"/>
        <v>1048.279</v>
      </c>
      <c r="M120">
        <f t="shared" si="22"/>
        <v>11.759999999999998</v>
      </c>
      <c r="N120" s="2">
        <f t="shared" si="21"/>
        <v>13.850000000000001</v>
      </c>
      <c r="O120" s="2">
        <f t="shared" si="24"/>
        <v>10.99</v>
      </c>
    </row>
    <row r="121" spans="1:15" x14ac:dyDescent="0.25">
      <c r="A121">
        <v>82.9</v>
      </c>
      <c r="B121">
        <v>43.3</v>
      </c>
      <c r="C121">
        <v>40.4</v>
      </c>
      <c r="D121">
        <v>11</v>
      </c>
      <c r="E121">
        <v>3.8</v>
      </c>
      <c r="F121">
        <v>2023</v>
      </c>
      <c r="G121">
        <v>13</v>
      </c>
      <c r="H121" t="s">
        <v>36</v>
      </c>
      <c r="I121" t="s">
        <v>29</v>
      </c>
      <c r="J121">
        <f t="shared" si="23"/>
        <v>15.1</v>
      </c>
      <c r="K121">
        <f t="shared" si="19"/>
        <v>9.9400000000000013</v>
      </c>
      <c r="L121">
        <f>L61-1000*1.5+800</f>
        <v>1598.279</v>
      </c>
      <c r="M121">
        <f t="shared" si="22"/>
        <v>13.159999999999998</v>
      </c>
      <c r="N121" s="2">
        <f t="shared" si="21"/>
        <v>13.350000000000001</v>
      </c>
      <c r="O121" s="2">
        <f t="shared" si="24"/>
        <v>17</v>
      </c>
    </row>
    <row r="122" spans="1:15" x14ac:dyDescent="0.25">
      <c r="A122">
        <v>26.8</v>
      </c>
      <c r="B122">
        <v>16.5</v>
      </c>
      <c r="C122">
        <v>23.8</v>
      </c>
      <c r="D122">
        <v>6.3</v>
      </c>
      <c r="E122">
        <v>1.9</v>
      </c>
      <c r="F122">
        <v>2023</v>
      </c>
      <c r="G122">
        <v>11.65823908703087</v>
      </c>
      <c r="H122" t="s">
        <v>37</v>
      </c>
      <c r="I122" t="s">
        <v>29</v>
      </c>
      <c r="J122">
        <f t="shared" si="23"/>
        <v>14.3</v>
      </c>
      <c r="K122">
        <f t="shared" si="19"/>
        <v>6.4400000000000013</v>
      </c>
      <c r="L122">
        <f t="shared" ref="L122:L127" si="25">L62-1000*1.5+800</f>
        <v>1448.279</v>
      </c>
      <c r="M122">
        <f t="shared" si="22"/>
        <v>15.86</v>
      </c>
      <c r="N122" s="2">
        <f t="shared" si="21"/>
        <v>5.75</v>
      </c>
      <c r="O122" s="2">
        <f t="shared" si="24"/>
        <v>16.2</v>
      </c>
    </row>
    <row r="123" spans="1:15" x14ac:dyDescent="0.25">
      <c r="A123">
        <v>3.7</v>
      </c>
      <c r="B123">
        <v>1.9</v>
      </c>
      <c r="C123">
        <v>1.5</v>
      </c>
      <c r="D123">
        <v>1.4</v>
      </c>
      <c r="E123">
        <v>-2.6</v>
      </c>
      <c r="F123">
        <v>2023</v>
      </c>
      <c r="G123">
        <v>41</v>
      </c>
      <c r="H123" t="s">
        <v>38</v>
      </c>
      <c r="I123" t="s">
        <v>29</v>
      </c>
      <c r="J123">
        <f t="shared" si="23"/>
        <v>10.9</v>
      </c>
      <c r="K123">
        <f t="shared" si="19"/>
        <v>7.9400000000000013</v>
      </c>
      <c r="L123">
        <f t="shared" si="25"/>
        <v>1198.279</v>
      </c>
      <c r="M123">
        <f t="shared" si="22"/>
        <v>10.959999999999999</v>
      </c>
      <c r="N123" s="2">
        <f t="shared" si="21"/>
        <v>9.25</v>
      </c>
      <c r="O123" s="2">
        <f t="shared" si="24"/>
        <v>12.32</v>
      </c>
    </row>
    <row r="124" spans="1:15" x14ac:dyDescent="0.25">
      <c r="A124">
        <v>14.4</v>
      </c>
      <c r="B124">
        <v>3.2</v>
      </c>
      <c r="C124">
        <v>3</v>
      </c>
      <c r="D124">
        <v>0.7</v>
      </c>
      <c r="E124">
        <v>-0.1</v>
      </c>
      <c r="F124">
        <v>2023</v>
      </c>
      <c r="G124">
        <v>11.65823908703087</v>
      </c>
      <c r="H124" t="s">
        <v>39</v>
      </c>
      <c r="I124" t="s">
        <v>29</v>
      </c>
      <c r="J124">
        <f t="shared" si="23"/>
        <v>12.29</v>
      </c>
      <c r="K124">
        <f t="shared" si="19"/>
        <v>9.4400000000000013</v>
      </c>
      <c r="L124">
        <f t="shared" si="25"/>
        <v>948.279</v>
      </c>
      <c r="M124">
        <f t="shared" si="22"/>
        <v>10.849999999999998</v>
      </c>
      <c r="N124" s="2">
        <f t="shared" si="21"/>
        <v>12.75</v>
      </c>
      <c r="O124" s="2">
        <f t="shared" si="24"/>
        <v>10.33</v>
      </c>
    </row>
    <row r="125" spans="1:15" x14ac:dyDescent="0.25">
      <c r="A125">
        <v>1.2</v>
      </c>
      <c r="B125">
        <v>0</v>
      </c>
      <c r="C125">
        <v>1.1000000000000001</v>
      </c>
      <c r="D125">
        <v>0.2</v>
      </c>
      <c r="E125">
        <v>0</v>
      </c>
      <c r="F125">
        <v>2023</v>
      </c>
      <c r="G125">
        <v>11.65823908703087</v>
      </c>
      <c r="H125" t="s">
        <v>40</v>
      </c>
      <c r="I125" t="s">
        <v>29</v>
      </c>
      <c r="J125">
        <f t="shared" si="23"/>
        <v>10.5</v>
      </c>
      <c r="K125">
        <f t="shared" si="19"/>
        <v>10.940000000000001</v>
      </c>
      <c r="L125">
        <f t="shared" si="25"/>
        <v>698.279</v>
      </c>
      <c r="M125">
        <f t="shared" si="22"/>
        <v>7.5599999999999987</v>
      </c>
      <c r="N125" s="2">
        <f t="shared" si="21"/>
        <v>11.25</v>
      </c>
      <c r="O125" s="2">
        <f t="shared" si="24"/>
        <v>11.329999999999998</v>
      </c>
    </row>
    <row r="126" spans="1:15" x14ac:dyDescent="0.25">
      <c r="A126">
        <v>5.3</v>
      </c>
      <c r="B126">
        <v>0.5</v>
      </c>
      <c r="C126">
        <v>4.2</v>
      </c>
      <c r="D126">
        <v>1.2</v>
      </c>
      <c r="E126">
        <v>0.2</v>
      </c>
      <c r="F126">
        <v>2023</v>
      </c>
      <c r="G126">
        <v>17</v>
      </c>
      <c r="H126" t="s">
        <v>41</v>
      </c>
      <c r="I126" t="s">
        <v>29</v>
      </c>
      <c r="J126">
        <f t="shared" si="23"/>
        <v>15.5</v>
      </c>
      <c r="K126">
        <f t="shared" si="19"/>
        <v>12.440000000000001</v>
      </c>
      <c r="L126">
        <f t="shared" si="25"/>
        <v>448.279</v>
      </c>
      <c r="M126">
        <f t="shared" si="22"/>
        <v>11.059999999999999</v>
      </c>
      <c r="N126" s="2">
        <f t="shared" si="21"/>
        <v>9.75</v>
      </c>
      <c r="O126" s="2">
        <f t="shared" si="24"/>
        <v>10.93</v>
      </c>
    </row>
    <row r="127" spans="1:15" x14ac:dyDescent="0.25">
      <c r="A127">
        <v>10.6</v>
      </c>
      <c r="B127">
        <v>9</v>
      </c>
      <c r="C127">
        <v>4.9000000000000004</v>
      </c>
      <c r="D127">
        <v>0.6</v>
      </c>
      <c r="E127">
        <v>-1.9</v>
      </c>
      <c r="F127">
        <v>2023</v>
      </c>
      <c r="G127">
        <v>21</v>
      </c>
      <c r="H127" t="s">
        <v>42</v>
      </c>
      <c r="I127" t="s">
        <v>29</v>
      </c>
      <c r="J127">
        <f t="shared" si="23"/>
        <v>13.89</v>
      </c>
      <c r="K127">
        <f t="shared" ref="K127" si="26">K80-1</f>
        <v>13.940000000000001</v>
      </c>
      <c r="L127">
        <f t="shared" si="25"/>
        <v>198.279</v>
      </c>
      <c r="M127">
        <f t="shared" si="22"/>
        <v>7.9499999999999993</v>
      </c>
      <c r="N127" s="2">
        <f t="shared" ref="N127:N130" si="27">N67-1.5</f>
        <v>8.25</v>
      </c>
      <c r="O127" s="2">
        <f t="shared" si="24"/>
        <v>11.45</v>
      </c>
    </row>
    <row r="128" spans="1:15" x14ac:dyDescent="0.25">
      <c r="N128" s="2"/>
    </row>
    <row r="129" spans="14:14" x14ac:dyDescent="0.25">
      <c r="N129" s="2"/>
    </row>
    <row r="130" spans="14:14" x14ac:dyDescent="0.25">
      <c r="N1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 Windows</cp:lastModifiedBy>
  <dcterms:created xsi:type="dcterms:W3CDTF">2024-12-16T11:14:49Z</dcterms:created>
  <dcterms:modified xsi:type="dcterms:W3CDTF">2025-01-20T15:55:27Z</dcterms:modified>
</cp:coreProperties>
</file>